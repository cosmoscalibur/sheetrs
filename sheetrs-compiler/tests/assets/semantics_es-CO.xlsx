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<sst xmlns="http://schemas.openxmlformats.org/spreadsheetml/2006/main" count="1400" uniqueCount="1304">
  <si>
    <t xml:space="preserve">apple</t>
  </si>
  <si>
    <t xml:space="preserve">x</t>
  </si>
  <si>
    <t xml:space="preserve">y</t>
  </si>
  <si>
    <t xml:space="preserve">z</t>
  </si>
  <si>
    <t xml:space="preserve">banana</t>
  </si>
  <si>
    <t xml:space="preserve">cherry</t>
  </si>
  <si>
    <t xml:space="preserve">date</t>
  </si>
  <si>
    <t xml:space="preserve">fig</t>
  </si>
  <si>
    <t xml:space="preserve">TEXT(1234.5678,"0")</t>
  </si>
  <si>
    <t xml:space="preserve">TEXT(-1234.5678,"0")</t>
  </si>
  <si>
    <t xml:space="preserve">TEXT(0,"0")</t>
  </si>
  <si>
    <t xml:space="preserve">TEXT(0.5,"0")</t>
  </si>
  <si>
    <t xml:space="preserve">TEXT(1000000,"0")</t>
  </si>
  <si>
    <t xml:space="preserve">TEXT(12345678.9,"0")</t>
  </si>
  <si>
    <t xml:space="preserve">TEXT(0.000123,"0")</t>
  </si>
  <si>
    <t xml:space="preserve">TEXT(1234.5678,"0.00")</t>
  </si>
  <si>
    <t xml:space="preserve">TEXT(-1234.5678,"0.00")</t>
  </si>
  <si>
    <t xml:space="preserve">TEXT(0,"0.00")</t>
  </si>
  <si>
    <t xml:space="preserve">TEXT(0.5,"0.00")</t>
  </si>
  <si>
    <t xml:space="preserve">TEXT(1000000,"0.00")</t>
  </si>
  <si>
    <t xml:space="preserve">TEXT(12345678.9,"0.00")</t>
  </si>
  <si>
    <t xml:space="preserve">TEXT(0.000123,"0.00")</t>
  </si>
  <si>
    <t xml:space="preserve">TEXT(1234.5678,"#,##0")</t>
  </si>
  <si>
    <t xml:space="preserve">TEXT(-1234.5678,"#,##0")</t>
  </si>
  <si>
    <t xml:space="preserve">TEXT(0,"#,##0")</t>
  </si>
  <si>
    <t xml:space="preserve">TEXT(0.5,"#,##0")</t>
  </si>
  <si>
    <t xml:space="preserve">TEXT(1000000,"#,##0")</t>
  </si>
  <si>
    <t xml:space="preserve">TEXT(12345678.9,"#,##0")</t>
  </si>
  <si>
    <t xml:space="preserve">TEXT(0.000123,"#,##0")</t>
  </si>
  <si>
    <t xml:space="preserve">TEXT(1234.5678,"#,##0.00")</t>
  </si>
  <si>
    <t xml:space="preserve">TEXT(-1234.5678,"#,##0.00")</t>
  </si>
  <si>
    <t xml:space="preserve">TEXT(0,"#,##0.00")</t>
  </si>
  <si>
    <t xml:space="preserve">TEXT(0.5,"#,##0.00")</t>
  </si>
  <si>
    <t xml:space="preserve">TEXT(1000000,"#,##0.00")</t>
  </si>
  <si>
    <t xml:space="preserve">TEXT(12345678.9,"#,##0.00")</t>
  </si>
  <si>
    <t xml:space="preserve">TEXT(0.000123,"#,##0.00")</t>
  </si>
  <si>
    <t xml:space="preserve">TEXT(1234.5678,"#.##")</t>
  </si>
  <si>
    <t xml:space="preserve">TEXT(-1234.5678,"#.##")</t>
  </si>
  <si>
    <t xml:space="preserve">TEXT(0,"#.##")</t>
  </si>
  <si>
    <t xml:space="preserve">TEXT(0.5,"#.##")</t>
  </si>
  <si>
    <t xml:space="preserve">TEXT(1000000,"#.##")</t>
  </si>
  <si>
    <t xml:space="preserve">TEXT(12345678.9,"#.##")</t>
  </si>
  <si>
    <t xml:space="preserve">TEXT(0.000123,"#.##")</t>
  </si>
  <si>
    <t xml:space="preserve">TEXT(1234.5678,"0.0%")</t>
  </si>
  <si>
    <t xml:space="preserve">TEXT(-1234.5678,"0.0%")</t>
  </si>
  <si>
    <t xml:space="preserve">TEXT(0,"0.0%")</t>
  </si>
  <si>
    <t xml:space="preserve">TEXT(0.5,"0.0%")</t>
  </si>
  <si>
    <t xml:space="preserve">TEXT(1000000,"0.0%")</t>
  </si>
  <si>
    <t xml:space="preserve">TEXT(12345678.9,"0.0%")</t>
  </si>
  <si>
    <t xml:space="preserve">TEXT(0.000123,"0.0%")</t>
  </si>
  <si>
    <t xml:space="preserve">TEXT(1234.5678,"0.00E+00")</t>
  </si>
  <si>
    <t xml:space="preserve">TEXT(-1234.5678,"0.00E+00")</t>
  </si>
  <si>
    <t xml:space="preserve">TEXT(0,"0.00E+00")</t>
  </si>
  <si>
    <t xml:space="preserve">TEXT(0.5,"0.00E+00")</t>
  </si>
  <si>
    <t xml:space="preserve">TEXT(1000000,"0.00E+00")</t>
  </si>
  <si>
    <t xml:space="preserve">TEXT(12345678.9,"0.00E+00")</t>
  </si>
  <si>
    <t xml:space="preserve">TEXT(0.000123,"0.00E+00")</t>
  </si>
  <si>
    <t xml:space="preserve">TEXT(1234.5678,"# ?/?")</t>
  </si>
  <si>
    <t xml:space="preserve">TEXT(-1234.5678,"# ?/?")</t>
  </si>
  <si>
    <t xml:space="preserve">TEXT(0,"# ?/?")</t>
  </si>
  <si>
    <t xml:space="preserve">TEXT(0.5,"# ?/?")</t>
  </si>
  <si>
    <t xml:space="preserve">TEXT(1000000,"# ?/?")</t>
  </si>
  <si>
    <t xml:space="preserve">TEXT(12345678.9,"# ?/?")</t>
  </si>
  <si>
    <t xml:space="preserve">TEXT(0.000123,"# ?/?")</t>
  </si>
  <si>
    <t xml:space="preserve">TEXT(1234.5678,"# ??/??")</t>
  </si>
  <si>
    <t xml:space="preserve">TEXT(-1234.5678,"# ??/??")</t>
  </si>
  <si>
    <t xml:space="preserve">TEXT(0,"# ??/??")</t>
  </si>
  <si>
    <t xml:space="preserve">TEXT(0.5,"# ??/??")</t>
  </si>
  <si>
    <t xml:space="preserve">TEXT(1000000,"# ??/??")</t>
  </si>
  <si>
    <t xml:space="preserve">TEXT(12345678.9,"# ??/??")</t>
  </si>
  <si>
    <t xml:space="preserve">TEXT(0.000123,"# ??/??")</t>
  </si>
  <si>
    <t xml:space="preserve">TEXT(1234.5678,"General")</t>
  </si>
  <si>
    <t xml:space="preserve">TEXT(-1234.5678,"General")</t>
  </si>
  <si>
    <t xml:space="preserve">TEXT(0,"General")</t>
  </si>
  <si>
    <t xml:space="preserve">TEXT(0.5,"General")</t>
  </si>
  <si>
    <t xml:space="preserve">TEXT(1000000,"General")</t>
  </si>
  <si>
    <t xml:space="preserve">TEXT(12345678.9,"General")</t>
  </si>
  <si>
    <t xml:space="preserve">TEXT(0.000123,"General")</t>
  </si>
  <si>
    <t xml:space="preserve">TEXT(1234.5678,"[$$-409]#,##0.00")</t>
  </si>
  <si>
    <t xml:space="preserve">TEXT(-1234.5678,"[$$-409]#,##0.00")</t>
  </si>
  <si>
    <t xml:space="preserve">TEXT(0,"[$$-409]#,##0.00")</t>
  </si>
  <si>
    <t xml:space="preserve">TEXT(0.5,"[$$-409]#,##0.00")</t>
  </si>
  <si>
    <t xml:space="preserve">TEXT(1000000,"[$$-409]#,##0.00")</t>
  </si>
  <si>
    <t xml:space="preserve">TEXT(12345678.9,"[$$-409]#,##0.00")</t>
  </si>
  <si>
    <t xml:space="preserve">TEXT(0.000123,"[$$-409]#,##0.00")</t>
  </si>
  <si>
    <t xml:space="preserve">TEXT(1234.5678,"[$€-407]#,##0.00")</t>
  </si>
  <si>
    <t xml:space="preserve">TEXT(-1234.5678,"[$€-407]#,##0.00")</t>
  </si>
  <si>
    <t xml:space="preserve">TEXT(0,"[$€-407]#,##0.00")</t>
  </si>
  <si>
    <t xml:space="preserve">TEXT(0.5,"[$€-407]#,##0.00")</t>
  </si>
  <si>
    <t xml:space="preserve">TEXT(1000000,"[$€-407]#,##0.00")</t>
  </si>
  <si>
    <t xml:space="preserve">TEXT(12345678.9,"[$€-407]#,##0.00")</t>
  </si>
  <si>
    <t xml:space="preserve">TEXT(0.000123,"[$€-407]#,##0.00")</t>
  </si>
  <si>
    <t xml:space="preserve">TEXT(1234.5678,"[$$-en-US]#,##0")</t>
  </si>
  <si>
    <t xml:space="preserve">TEXT(-1234.5678,"[$$-en-US]#,##0")</t>
  </si>
  <si>
    <t xml:space="preserve">TEXT(0,"[$$-en-US]#,##0")</t>
  </si>
  <si>
    <t xml:space="preserve">TEXT(0.5,"[$$-en-US]#,##0")</t>
  </si>
  <si>
    <t xml:space="preserve">TEXT(1000000,"[$$-en-US]#,##0")</t>
  </si>
  <si>
    <t xml:space="preserve">TEXT(12345678.9,"[$$-en-US]#,##0")</t>
  </si>
  <si>
    <t xml:space="preserve">TEXT(0.000123,"[$$-en-US]#,##0")</t>
  </si>
  <si>
    <t xml:space="preserve">TEXT(1234.5678,"$#,##0")</t>
  </si>
  <si>
    <t xml:space="preserve">TEXT(-1234.5678,"$#,##0")</t>
  </si>
  <si>
    <t xml:space="preserve">TEXT(0,"$#,##0")</t>
  </si>
  <si>
    <t xml:space="preserve">TEXT(0.5,"$#,##0")</t>
  </si>
  <si>
    <t xml:space="preserve">TEXT(1000000,"$#,##0")</t>
  </si>
  <si>
    <t xml:space="preserve">TEXT(12345678.9,"$#,##0")</t>
  </si>
  <si>
    <t xml:space="preserve">TEXT(0.000123,"$#,##0")</t>
  </si>
  <si>
    <t xml:space="preserve">TEXT(1234.5678,"#,##0;(#,##0)")</t>
  </si>
  <si>
    <t xml:space="preserve">TEXT(-1234.5678,"#,##0;(#,##0)")</t>
  </si>
  <si>
    <t xml:space="preserve">TEXT(0,"#,##0;(#,##0)")</t>
  </si>
  <si>
    <t xml:space="preserve">TEXT(0.5,"#,##0;(#,##0)")</t>
  </si>
  <si>
    <t xml:space="preserve">TEXT(1000000,"#,##0;(#,##0)")</t>
  </si>
  <si>
    <t xml:space="preserve">TEXT(12345678.9,"#,##0;(#,##0)")</t>
  </si>
  <si>
    <t xml:space="preserve">TEXT(0.000123,"#,##0;(#,##0)")</t>
  </si>
  <si>
    <t xml:space="preserve">TEXT(1234.5678,"#,##0;[Red]-#,##0")</t>
  </si>
  <si>
    <t xml:space="preserve">TEXT(-1234.5678,"#,##0;[Red]-#,##0")</t>
  </si>
  <si>
    <t xml:space="preserve">TEXT(0,"#,##0;[Red]-#,##0")</t>
  </si>
  <si>
    <t xml:space="preserve">TEXT(0.5,"#,##0;[Red]-#,##0")</t>
  </si>
  <si>
    <t xml:space="preserve">TEXT(1000000,"#,##0;[Red]-#,##0")</t>
  </si>
  <si>
    <t xml:space="preserve">TEXT(12345678.9,"#,##0;[Red]-#,##0")</t>
  </si>
  <si>
    <t xml:space="preserve">TEXT(0.000123,"#,##0;[Red]-#,##0")</t>
  </si>
  <si>
    <t xml:space="preserve">TEXT(1234.5678,"[&gt;100]0.0;0")</t>
  </si>
  <si>
    <t xml:space="preserve">TEXT(-1234.5678,"[&gt;100]0.0;0")</t>
  </si>
  <si>
    <t xml:space="preserve">TEXT(0,"[&gt;100]0.0;0")</t>
  </si>
  <si>
    <t xml:space="preserve">TEXT(0.5,"[&gt;100]0.0;0")</t>
  </si>
  <si>
    <t xml:space="preserve">TEXT(1000000,"[&gt;100]0.0;0")</t>
  </si>
  <si>
    <t xml:space="preserve">TEXT(12345678.9,"[&gt;100]0.0;0")</t>
  </si>
  <si>
    <t xml:space="preserve">TEXT(0.000123,"[&gt;100]0.0;0")</t>
  </si>
  <si>
    <t xml:space="preserve">TEXT(1234.5678,"0,")</t>
  </si>
  <si>
    <t xml:space="preserve">TEXT(-1234.5678,"0,")</t>
  </si>
  <si>
    <t xml:space="preserve">TEXT(0,"0,")</t>
  </si>
  <si>
    <t xml:space="preserve">TEXT(0.5,"0,")</t>
  </si>
  <si>
    <t xml:space="preserve">TEXT(1000000,"0,")</t>
  </si>
  <si>
    <t xml:space="preserve">TEXT(12345678.9,"0,")</t>
  </si>
  <si>
    <t xml:space="preserve">TEXT(0.000123,"0,")</t>
  </si>
  <si>
    <t xml:space="preserve">TEXT(1234.5678,"0.0,,")</t>
  </si>
  <si>
    <t xml:space="preserve">TEXT(-1234.5678,"0.0,,")</t>
  </si>
  <si>
    <t xml:space="preserve">TEXT(0,"0.0,,")</t>
  </si>
  <si>
    <t xml:space="preserve">TEXT(0.5,"0.0,,")</t>
  </si>
  <si>
    <t xml:space="preserve">TEXT(1000000,"0.0,,")</t>
  </si>
  <si>
    <t xml:space="preserve">TEXT(12345678.9,"0.0,,")</t>
  </si>
  <si>
    <t xml:space="preserve">TEXT(0.000123,"0.0,,")</t>
  </si>
  <si>
    <t xml:space="preserve">TEXT(1234.5678,"00000")</t>
  </si>
  <si>
    <t xml:space="preserve">TEXT(-1234.5678,"00000")</t>
  </si>
  <si>
    <t xml:space="preserve">TEXT(0,"00000")</t>
  </si>
  <si>
    <t xml:space="preserve">TEXT(0.5,"00000")</t>
  </si>
  <si>
    <t xml:space="preserve">TEXT(1000000,"00000")</t>
  </si>
  <si>
    <t xml:space="preserve">TEXT(12345678.9,"00000")</t>
  </si>
  <si>
    <t xml:space="preserve">TEXT(0.000123,"00000")</t>
  </si>
  <si>
    <t xml:space="preserve">TEXT(1234.5678,"""abc""0")</t>
  </si>
  <si>
    <t xml:space="preserve">TEXT(-1234.5678,"""abc""0")</t>
  </si>
  <si>
    <t xml:space="preserve">TEXT(0,"""abc""0")</t>
  </si>
  <si>
    <t xml:space="preserve">TEXT(0.5,"""abc""0")</t>
  </si>
  <si>
    <t xml:space="preserve">TEXT(1000000,"""abc""0")</t>
  </si>
  <si>
    <t xml:space="preserve">TEXT(12345678.9,"""abc""0")</t>
  </si>
  <si>
    <t xml:space="preserve">TEXT(0.000123,"""abc""0")</t>
  </si>
  <si>
    <t xml:space="preserve">TEXT(1234.5678,"0"" units""")</t>
  </si>
  <si>
    <t xml:space="preserve">TEXT(-1234.5678,"0"" units""")</t>
  </si>
  <si>
    <t xml:space="preserve">TEXT(0,"0"" units""")</t>
  </si>
  <si>
    <t xml:space="preserve">TEXT(0.5,"0"" units""")</t>
  </si>
  <si>
    <t xml:space="preserve">TEXT(1000000,"0"" units""")</t>
  </si>
  <si>
    <t xml:space="preserve">TEXT(12345678.9,"0"" units""")</t>
  </si>
  <si>
    <t xml:space="preserve">TEXT(0.000123,"0"" units""")</t>
  </si>
  <si>
    <t xml:space="preserve">TEXT(1234.5678,"#,##0_);(#,##0)")</t>
  </si>
  <si>
    <t xml:space="preserve">TEXT(-1234.5678,"#,##0_);(#,##0)")</t>
  </si>
  <si>
    <t xml:space="preserve">TEXT(0,"#,##0_);(#,##0)")</t>
  </si>
  <si>
    <t xml:space="preserve">TEXT(0.5,"#,##0_);(#,##0)")</t>
  </si>
  <si>
    <t xml:space="preserve">TEXT(1000000,"#,##0_);(#,##0)")</t>
  </si>
  <si>
    <t xml:space="preserve">TEXT(12345678.9,"#,##0_);(#,##0)")</t>
  </si>
  <si>
    <t xml:space="preserve">TEXT(0.000123,"#,##0_);(#,##0)")</t>
  </si>
  <si>
    <t xml:space="preserve">TEXT(1234.5678,"#.##0")</t>
  </si>
  <si>
    <t xml:space="preserve">TEXT(-1234.5678,"#.##0")</t>
  </si>
  <si>
    <t xml:space="preserve">TEXT(0,"#.##0")</t>
  </si>
  <si>
    <t xml:space="preserve">TEXT(0.5,"#.##0")</t>
  </si>
  <si>
    <t xml:space="preserve">TEXT(1000000,"#.##0")</t>
  </si>
  <si>
    <t xml:space="preserve">TEXT(12345678.9,"#.##0")</t>
  </si>
  <si>
    <t xml:space="preserve">TEXT(0.000123,"#.##0")</t>
  </si>
  <si>
    <t xml:space="preserve">TEXT(1234.5678,"#.###.##0")</t>
  </si>
  <si>
    <t xml:space="preserve">TEXT(-1234.5678,"#.###.##0")</t>
  </si>
  <si>
    <t xml:space="preserve">TEXT(0,"#.###.##0")</t>
  </si>
  <si>
    <t xml:space="preserve">TEXT(0.5,"#.###.##0")</t>
  </si>
  <si>
    <t xml:space="preserve">TEXT(1000000,"#.###.##0")</t>
  </si>
  <si>
    <t xml:space="preserve">TEXT(12345678.9,"#.###.##0")</t>
  </si>
  <si>
    <t xml:space="preserve">TEXT(0.000123,"#.###.##0")</t>
  </si>
  <si>
    <t xml:space="preserve">TEXT(1234.5678,"0,00")</t>
  </si>
  <si>
    <t xml:space="preserve">TEXT(-1234.5678,"0,00")</t>
  </si>
  <si>
    <t xml:space="preserve">TEXT(0,"0,00")</t>
  </si>
  <si>
    <t xml:space="preserve">TEXT(0.5,"0,00")</t>
  </si>
  <si>
    <t xml:space="preserve">TEXT(1000000,"0,00")</t>
  </si>
  <si>
    <t xml:space="preserve">TEXT(12345678.9,"0,00")</t>
  </si>
  <si>
    <t xml:space="preserve">TEXT(0.000123,"0,00")</t>
  </si>
  <si>
    <t xml:space="preserve">TEXT(1234.5678,"#.##0,00")</t>
  </si>
  <si>
    <t xml:space="preserve">TEXT(-1234.5678,"#.##0,00")</t>
  </si>
  <si>
    <t xml:space="preserve">TEXT(0,"#.##0,00")</t>
  </si>
  <si>
    <t xml:space="preserve">TEXT(0.5,"#.##0,00")</t>
  </si>
  <si>
    <t xml:space="preserve">TEXT(1000000,"#.##0,00")</t>
  </si>
  <si>
    <t xml:space="preserve">TEXT(12345678.9,"#.##0,00")</t>
  </si>
  <si>
    <t xml:space="preserve">TEXT(0.000123,"#.##0,00")</t>
  </si>
  <si>
    <t xml:space="preserve">TEXT(1234.5678,"@")</t>
  </si>
  <si>
    <t xml:space="preserve">TEXT(-1234.5678,"@")</t>
  </si>
  <si>
    <t xml:space="preserve">TEXT(0,"@")</t>
  </si>
  <si>
    <t xml:space="preserve">TEXT(0.5,"@")</t>
  </si>
  <si>
    <t xml:space="preserve">TEXT(1000000,"@")</t>
  </si>
  <si>
    <t xml:space="preserve">TEXT(12345678.9,"@")</t>
  </si>
  <si>
    <t xml:space="preserve">TEXT(0.000123,"@")</t>
  </si>
  <si>
    <t xml:space="preserve">TEXT(1234.5678,"0.0E+0")</t>
  </si>
  <si>
    <t xml:space="preserve">TEXT(-1234.5678,"0.0E+0")</t>
  </si>
  <si>
    <t xml:space="preserve">TEXT(0,"0.0E+0")</t>
  </si>
  <si>
    <t xml:space="preserve">TEXT(0.5,"0.0E+0")</t>
  </si>
  <si>
    <t xml:space="preserve">TEXT(1000000,"0.0E+0")</t>
  </si>
  <si>
    <t xml:space="preserve">TEXT(12345678.9,"0.0E+0")</t>
  </si>
  <si>
    <t xml:space="preserve">TEXT(0.000123,"0.0E+0")</t>
  </si>
  <si>
    <t xml:space="preserve">TEXT(1234.5678,"##0.0E+0")</t>
  </si>
  <si>
    <t xml:space="preserve">TEXT(-1234.5678,"##0.0E+0")</t>
  </si>
  <si>
    <t xml:space="preserve">TEXT(0,"##0.0E+0")</t>
  </si>
  <si>
    <t xml:space="preserve">TEXT(0.5,"##0.0E+0")</t>
  </si>
  <si>
    <t xml:space="preserve">TEXT(1000000,"##0.0E+0")</t>
  </si>
  <si>
    <t xml:space="preserve">TEXT(12345678.9,"##0.0E+0")</t>
  </si>
  <si>
    <t xml:space="preserve">TEXT(0.000123,"##0.0E+0")</t>
  </si>
  <si>
    <t xml:space="preserve">TEXT(1234.5678,"\$0")</t>
  </si>
  <si>
    <t xml:space="preserve">TEXT(-1234.5678,"\$0")</t>
  </si>
  <si>
    <t xml:space="preserve">TEXT(0,"\$0")</t>
  </si>
  <si>
    <t xml:space="preserve">TEXT(0.5,"\$0")</t>
  </si>
  <si>
    <t xml:space="preserve">TEXT(1000000,"\$0")</t>
  </si>
  <si>
    <t xml:space="preserve">TEXT(12345678.9,"\$0")</t>
  </si>
  <si>
    <t xml:space="preserve">TEXT(0.000123,"\$0")</t>
  </si>
  <si>
    <t xml:space="preserve">TEXT(1234.5678,"000-00")</t>
  </si>
  <si>
    <t xml:space="preserve">TEXT(-1234.5678,"000-00")</t>
  </si>
  <si>
    <t xml:space="preserve">TEXT(0,"000-00")</t>
  </si>
  <si>
    <t xml:space="preserve">TEXT(0.5,"000-00")</t>
  </si>
  <si>
    <t xml:space="preserve">TEXT(1000000,"000-00")</t>
  </si>
  <si>
    <t xml:space="preserve">TEXT(12345678.9,"000-00")</t>
  </si>
  <si>
    <t xml:space="preserve">TEXT(0.000123,"000-00")</t>
  </si>
  <si>
    <t xml:space="preserve">TEXT(1234.5678,"#,###")</t>
  </si>
  <si>
    <t xml:space="preserve">TEXT(-1234.5678,"#,###")</t>
  </si>
  <si>
    <t xml:space="preserve">TEXT(0,"#,###")</t>
  </si>
  <si>
    <t xml:space="preserve">TEXT(0.5,"#,###")</t>
  </si>
  <si>
    <t xml:space="preserve">TEXT(1000000,"#,###")</t>
  </si>
  <si>
    <t xml:space="preserve">TEXT(12345678.9,"#,###")</t>
  </si>
  <si>
    <t xml:space="preserve">TEXT(0.000123,"#,###")</t>
  </si>
  <si>
    <t xml:space="preserve">TEXT(1234.5678,"0.0")</t>
  </si>
  <si>
    <t xml:space="preserve">TEXT(-1234.5678,"0.0")</t>
  </si>
  <si>
    <t xml:space="preserve">TEXT(0,"0.0")</t>
  </si>
  <si>
    <t xml:space="preserve">TEXT(0.5,"0.0")</t>
  </si>
  <si>
    <t xml:space="preserve">TEXT(1000000,"0.0")</t>
  </si>
  <si>
    <t xml:space="preserve">TEXT(12345678.9,"0.0")</t>
  </si>
  <si>
    <t xml:space="preserve">TEXT(0.000123,"0.0")</t>
  </si>
  <si>
    <t xml:space="preserve">TEXT(1234.5678,"0.000")</t>
  </si>
  <si>
    <t xml:space="preserve">TEXT(-1234.5678,"0.000")</t>
  </si>
  <si>
    <t xml:space="preserve">TEXT(0,"0.000")</t>
  </si>
  <si>
    <t xml:space="preserve">TEXT(0.5,"0.000")</t>
  </si>
  <si>
    <t xml:space="preserve">TEXT(1000000,"0.000")</t>
  </si>
  <si>
    <t xml:space="preserve">TEXT(12345678.9,"0.000")</t>
  </si>
  <si>
    <t xml:space="preserve">TEXT(0.000123,"0.000")</t>
  </si>
  <si>
    <t xml:space="preserve">TEXT(1234.5678,"#.#")</t>
  </si>
  <si>
    <t xml:space="preserve">TEXT(-1234.5678,"#.#")</t>
  </si>
  <si>
    <t xml:space="preserve">TEXT(0,"#.#")</t>
  </si>
  <si>
    <t xml:space="preserve">TEXT(0.5,"#.#")</t>
  </si>
  <si>
    <t xml:space="preserve">TEXT(1000000,"#.#")</t>
  </si>
  <si>
    <t xml:space="preserve">TEXT(12345678.9,"#.#")</t>
  </si>
  <si>
    <t xml:space="preserve">TEXT(0.000123,"#.#")</t>
  </si>
  <si>
    <t xml:space="preserve">TEXT(1234.5678,"00.00")</t>
  </si>
  <si>
    <t xml:space="preserve">TEXT(-1234.5678,"00.00")</t>
  </si>
  <si>
    <t xml:space="preserve">TEXT(0,"00.00")</t>
  </si>
  <si>
    <t xml:space="preserve">TEXT(0.5,"00.00")</t>
  </si>
  <si>
    <t xml:space="preserve">TEXT(1000000,"00.00")</t>
  </si>
  <si>
    <t xml:space="preserve">TEXT(12345678.9,"00.00")</t>
  </si>
  <si>
    <t xml:space="preserve">TEXT(0.000123,"00.00")</t>
  </si>
  <si>
    <t xml:space="preserve">TEXT(1234.5678,"0.#")</t>
  </si>
  <si>
    <t xml:space="preserve">TEXT(-1234.5678,"0.#")</t>
  </si>
  <si>
    <t xml:space="preserve">TEXT(0,"0.#")</t>
  </si>
  <si>
    <t xml:space="preserve">TEXT(0.5,"0.#")</t>
  </si>
  <si>
    <t xml:space="preserve">TEXT(1000000,"0.#")</t>
  </si>
  <si>
    <t xml:space="preserve">TEXT(12345678.9,"0.#")</t>
  </si>
  <si>
    <t xml:space="preserve">TEXT(0.000123,"0.#")</t>
  </si>
  <si>
    <t xml:space="preserve">TEXT(1234.5678,"#,#")</t>
  </si>
  <si>
    <t xml:space="preserve">TEXT(-1234.5678,"#,#")</t>
  </si>
  <si>
    <t xml:space="preserve">TEXT(0,"#,#")</t>
  </si>
  <si>
    <t xml:space="preserve">TEXT(0.5,"#,#")</t>
  </si>
  <si>
    <t xml:space="preserve">TEXT(1000000,"#,#")</t>
  </si>
  <si>
    <t xml:space="preserve">TEXT(12345678.9,"#,#")</t>
  </si>
  <si>
    <t xml:space="preserve">TEXT(0.000123,"#,#")</t>
  </si>
  <si>
    <t xml:space="preserve">TEXT(1234.5678,"#,##")</t>
  </si>
  <si>
    <t xml:space="preserve">TEXT(-1234.5678,"#,##")</t>
  </si>
  <si>
    <t xml:space="preserve">TEXT(0,"#,##")</t>
  </si>
  <si>
    <t xml:space="preserve">TEXT(0.5,"#,##")</t>
  </si>
  <si>
    <t xml:space="preserve">TEXT(1000000,"#,##")</t>
  </si>
  <si>
    <t xml:space="preserve">TEXT(12345678.9,"#,##")</t>
  </si>
  <si>
    <t xml:space="preserve">TEXT(0.000123,"#,##")</t>
  </si>
  <si>
    <t xml:space="preserve">TEXT(1234.5678,"0,0")</t>
  </si>
  <si>
    <t xml:space="preserve">TEXT(-1234.5678,"0,0")</t>
  </si>
  <si>
    <t xml:space="preserve">TEXT(0,"0,0")</t>
  </si>
  <si>
    <t xml:space="preserve">TEXT(0.5,"0,0")</t>
  </si>
  <si>
    <t xml:space="preserve">TEXT(1000000,"0,0")</t>
  </si>
  <si>
    <t xml:space="preserve">TEXT(12345678.9,"0,0")</t>
  </si>
  <si>
    <t xml:space="preserve">TEXT(0.000123,"0,0")</t>
  </si>
  <si>
    <t xml:space="preserve">TEXT(1234.5678,"0,000")</t>
  </si>
  <si>
    <t xml:space="preserve">TEXT(-1234.5678,"0,000")</t>
  </si>
  <si>
    <t xml:space="preserve">TEXT(0,"0,000")</t>
  </si>
  <si>
    <t xml:space="preserve">TEXT(0.5,"0,000")</t>
  </si>
  <si>
    <t xml:space="preserve">TEXT(1000000,"0,000")</t>
  </si>
  <si>
    <t xml:space="preserve">TEXT(12345678.9,"0,000")</t>
  </si>
  <si>
    <t xml:space="preserve">TEXT(0.000123,"0,000")</t>
  </si>
  <si>
    <t xml:space="preserve">TEXT(1234.5678,"#,##0.0")</t>
  </si>
  <si>
    <t xml:space="preserve">TEXT(-1234.5678,"#,##0.0")</t>
  </si>
  <si>
    <t xml:space="preserve">TEXT(0,"#,##0.0")</t>
  </si>
  <si>
    <t xml:space="preserve">TEXT(0.5,"#,##0.0")</t>
  </si>
  <si>
    <t xml:space="preserve">TEXT(1000000,"#,##0.0")</t>
  </si>
  <si>
    <t xml:space="preserve">TEXT(12345678.9,"#,##0.0")</t>
  </si>
  <si>
    <t xml:space="preserve">TEXT(0.000123,"#,##0.0")</t>
  </si>
  <si>
    <t xml:space="preserve">TEXT(1234.5678,"0.0.0")</t>
  </si>
  <si>
    <t xml:space="preserve">TEXT(-1234.5678,"0.0.0")</t>
  </si>
  <si>
    <t xml:space="preserve">TEXT(0,"0.0.0")</t>
  </si>
  <si>
    <t xml:space="preserve">TEXT(0.5,"0.0.0")</t>
  </si>
  <si>
    <t xml:space="preserve">TEXT(1000000,"0.0.0")</t>
  </si>
  <si>
    <t xml:space="preserve">TEXT(12345678.9,"0.0.0")</t>
  </si>
  <si>
    <t xml:space="preserve">TEXT(0.000123,"0.0.0")</t>
  </si>
  <si>
    <t xml:space="preserve">TEXT(1234.5678,"0,0,0")</t>
  </si>
  <si>
    <t xml:space="preserve">TEXT(-1234.5678,"0,0,0")</t>
  </si>
  <si>
    <t xml:space="preserve">TEXT(0,"0,0,0")</t>
  </si>
  <si>
    <t xml:space="preserve">TEXT(0.5,"0,0,0")</t>
  </si>
  <si>
    <t xml:space="preserve">TEXT(1000000,"0,0,0")</t>
  </si>
  <si>
    <t xml:space="preserve">TEXT(12345678.9,"0,0,0")</t>
  </si>
  <si>
    <t xml:space="preserve">TEXT(0.000123,"0,0,0")</t>
  </si>
  <si>
    <t xml:space="preserve">TEXT(1234.5678,"0.00%")</t>
  </si>
  <si>
    <t xml:space="preserve">TEXT(-1234.5678,"0.00%")</t>
  </si>
  <si>
    <t xml:space="preserve">TEXT(0,"0.00%")</t>
  </si>
  <si>
    <t xml:space="preserve">TEXT(0.5,"0.00%")</t>
  </si>
  <si>
    <t xml:space="preserve">TEXT(1000000,"0.00%")</t>
  </si>
  <si>
    <t xml:space="preserve">TEXT(12345678.9,"0.00%")</t>
  </si>
  <si>
    <t xml:space="preserve">TEXT(0.000123,"0.00%")</t>
  </si>
  <si>
    <t xml:space="preserve">TEXT(1234.5678,"#,##0.00_);(#,##0.00)")</t>
  </si>
  <si>
    <t xml:space="preserve">TEXT(-1234.5678,"#,##0.00_);(#,##0.00)")</t>
  </si>
  <si>
    <t xml:space="preserve">TEXT(0,"#,##0.00_);(#,##0.00)")</t>
  </si>
  <si>
    <t xml:space="preserve">TEXT(0.5,"#,##0.00_);(#,##0.00)")</t>
  </si>
  <si>
    <t xml:space="preserve">TEXT(1000000,"#,##0.00_);(#,##0.00)")</t>
  </si>
  <si>
    <t xml:space="preserve">TEXT(12345678.9,"#,##0.00_);(#,##0.00)")</t>
  </si>
  <si>
    <t xml:space="preserve">TEXT(0.000123,"#,##0.00_);(#,##0.00)")</t>
  </si>
  <si>
    <t xml:space="preserve">TEXT(1234.5678,"$#,##0.00")</t>
  </si>
  <si>
    <t xml:space="preserve">TEXT(-1234.5678,"$#,##0.00")</t>
  </si>
  <si>
    <t xml:space="preserve">TEXT(0,"$#,##0.00")</t>
  </si>
  <si>
    <t xml:space="preserve">TEXT(0.5,"$#,##0.00")</t>
  </si>
  <si>
    <t xml:space="preserve">TEXT(1000000,"$#,##0.00")</t>
  </si>
  <si>
    <t xml:space="preserve">TEXT(12345678.9,"$#,##0.00")</t>
  </si>
  <si>
    <t xml:space="preserve">TEXT(0.000123,"$#,##0.00")</t>
  </si>
  <si>
    <t xml:space="preserve">TEXT(1234.5678,"#,##0.00;-#,##0.00")</t>
  </si>
  <si>
    <t xml:space="preserve">TEXT(-1234.5678,"#,##0.00;-#,##0.00")</t>
  </si>
  <si>
    <t xml:space="preserve">TEXT(0,"#,##0.00;-#,##0.00")</t>
  </si>
  <si>
    <t xml:space="preserve">TEXT(0.5,"#,##0.00;-#,##0.00")</t>
  </si>
  <si>
    <t xml:space="preserve">TEXT(1000000,"#,##0.00;-#,##0.00")</t>
  </si>
  <si>
    <t xml:space="preserve">TEXT(12345678.9,"#,##0.00;-#,##0.00")</t>
  </si>
  <si>
    <t xml:space="preserve">TEXT(0.000123,"#,##0.00;-#,##0.00")</t>
  </si>
  <si>
    <t xml:space="preserve">TEXT(1234.5678,"#,##0.000")</t>
  </si>
  <si>
    <t xml:space="preserve">TEXT(-1234.5678,"#,##0.000")</t>
  </si>
  <si>
    <t xml:space="preserve">TEXT(0,"#,##0.000")</t>
  </si>
  <si>
    <t xml:space="preserve">TEXT(0.5,"#,##0.000")</t>
  </si>
  <si>
    <t xml:space="preserve">TEXT(1000000,"#,##0.000")</t>
  </si>
  <si>
    <t xml:space="preserve">TEXT(12345678.9,"#,##0.000")</t>
  </si>
  <si>
    <t xml:space="preserve">TEXT(0.000123,"#,##0.000")</t>
  </si>
  <si>
    <t xml:space="preserve">TEXT(1234.5678,"0.00 ""x""")</t>
  </si>
  <si>
    <t xml:space="preserve">TEXT(-1234.5678,"0.00 ""x""")</t>
  </si>
  <si>
    <t xml:space="preserve">TEXT(0,"0.00 ""x""")</t>
  </si>
  <si>
    <t xml:space="preserve">TEXT(0.5,"0.00 ""x""")</t>
  </si>
  <si>
    <t xml:space="preserve">TEXT(1000000,"0.00 ""x""")</t>
  </si>
  <si>
    <t xml:space="preserve">TEXT(12345678.9,"0.00 ""x""")</t>
  </si>
  <si>
    <t xml:space="preserve">TEXT(0.000123,"0.00 ""x""")</t>
  </si>
  <si>
    <t xml:space="preserve">TEXT(1234.5678,"0.000%")</t>
  </si>
  <si>
    <t xml:space="preserve">TEXT(-1234.5678,"0.000%")</t>
  </si>
  <si>
    <t xml:space="preserve">TEXT(0,"0.000%")</t>
  </si>
  <si>
    <t xml:space="preserve">TEXT(0.5,"0.000%")</t>
  </si>
  <si>
    <t xml:space="preserve">TEXT(1000000,"0.000%")</t>
  </si>
  <si>
    <t xml:space="preserve">TEXT(12345678.9,"0.000%")</t>
  </si>
  <si>
    <t xml:space="preserve">TEXT(0.000123,"0.000%")</t>
  </si>
  <si>
    <t xml:space="preserve">TEXT(1234.5678,"0.0000")</t>
  </si>
  <si>
    <t xml:space="preserve">TEXT(-1234.5678,"0.0000")</t>
  </si>
  <si>
    <t xml:space="preserve">TEXT(0,"0.0000")</t>
  </si>
  <si>
    <t xml:space="preserve">TEXT(0.5,"0.0000")</t>
  </si>
  <si>
    <t xml:space="preserve">TEXT(1000000,"0.0000")</t>
  </si>
  <si>
    <t xml:space="preserve">TEXT(12345678.9,"0.0000")</t>
  </si>
  <si>
    <t xml:space="preserve">TEXT(0.000123,"0.0000")</t>
  </si>
  <si>
    <t xml:space="preserve">TEXT(1234.5678,"0.00;0.00")</t>
  </si>
  <si>
    <t xml:space="preserve">TEXT(-1234.5678,"0.00;0.00")</t>
  </si>
  <si>
    <t xml:space="preserve">TEXT(0,"0.00;0.00")</t>
  </si>
  <si>
    <t xml:space="preserve">TEXT(0.5,"0.00;0.00")</t>
  </si>
  <si>
    <t xml:space="preserve">TEXT(1000000,"0.00;0.00")</t>
  </si>
  <si>
    <t xml:space="preserve">TEXT(12345678.9,"0.00;0.00")</t>
  </si>
  <si>
    <t xml:space="preserve">TEXT(0.000123,"0.00;0.00")</t>
  </si>
  <si>
    <t xml:space="preserve">TEXT(1234.5678,"#,##0.00;[Red](#,##0.00)")</t>
  </si>
  <si>
    <t xml:space="preserve">TEXT(-1234.5678,"#,##0.00;[Red](#,##0.00)")</t>
  </si>
  <si>
    <t xml:space="preserve">TEXT(0,"#,##0.00;[Red](#,##0.00)")</t>
  </si>
  <si>
    <t xml:space="preserve">TEXT(0.5,"#,##0.00;[Red](#,##0.00)")</t>
  </si>
  <si>
    <t xml:space="preserve">TEXT(1000000,"#,##0.00;[Red](#,##0.00)")</t>
  </si>
  <si>
    <t xml:space="preserve">TEXT(12345678.9,"#,##0.00;[Red](#,##0.00)")</t>
  </si>
  <si>
    <t xml:space="preserve">TEXT(0.000123,"#,##0.00;[Red](#,##0.00)")</t>
  </si>
  <si>
    <t xml:space="preserve">TEXT(1234.5678,"0.00E+000")</t>
  </si>
  <si>
    <t xml:space="preserve">TEXT(-1234.5678,"0.00E+000")</t>
  </si>
  <si>
    <t xml:space="preserve">TEXT(0,"0.00E+000")</t>
  </si>
  <si>
    <t xml:space="preserve">TEXT(0.5,"0.00E+000")</t>
  </si>
  <si>
    <t xml:space="preserve">TEXT(1000000,"0.00E+000")</t>
  </si>
  <si>
    <t xml:space="preserve">TEXT(12345678.9,"0.00E+000")</t>
  </si>
  <si>
    <t xml:space="preserve">TEXT(0.000123,"0.00E+000")</t>
  </si>
  <si>
    <t xml:space="preserve">TEXT(1234.5678,"0.000E+00")</t>
  </si>
  <si>
    <t xml:space="preserve">TEXT(-1234.5678,"0.000E+00")</t>
  </si>
  <si>
    <t xml:space="preserve">TEXT(0,"0.000E+00")</t>
  </si>
  <si>
    <t xml:space="preserve">TEXT(0.5,"0.000E+00")</t>
  </si>
  <si>
    <t xml:space="preserve">TEXT(1000000,"0.000E+00")</t>
  </si>
  <si>
    <t xml:space="preserve">TEXT(12345678.9,"0.000E+00")</t>
  </si>
  <si>
    <t xml:space="preserve">TEXT(0.000123,"0.000E+00")</t>
  </si>
  <si>
    <t xml:space="preserve">TEXT(1234.5678,"#,##0.00E+00")</t>
  </si>
  <si>
    <t xml:space="preserve">TEXT(-1234.5678,"#,##0.00E+00")</t>
  </si>
  <si>
    <t xml:space="preserve">TEXT(0,"#,##0.00E+00")</t>
  </si>
  <si>
    <t xml:space="preserve">TEXT(0.5,"#,##0.00E+00")</t>
  </si>
  <si>
    <t xml:space="preserve">TEXT(1000000,"#,##0.00E+00")</t>
  </si>
  <si>
    <t xml:space="preserve">TEXT(12345678.9,"#,##0.00E+00")</t>
  </si>
  <si>
    <t xml:space="preserve">TEXT(0.000123,"#,##0.00E+00")</t>
  </si>
  <si>
    <t xml:space="preserve">TEXT(45292.5,"yyyy-mm-dd")</t>
  </si>
  <si>
    <t xml:space="preserve">TEXT(45658.75123,"yyyy-mm-dd")</t>
  </si>
  <si>
    <t xml:space="preserve">TEXT(0.5,"yyyy-mm-dd")</t>
  </si>
  <si>
    <t xml:space="preserve">TEXT(1.999,"yyyy-mm-dd")</t>
  </si>
  <si>
    <t xml:space="preserve">TEXT(61,"yyyy-mm-dd")</t>
  </si>
  <si>
    <t xml:space="preserve">TEXT(36526.12345,"yyyy-mm-dd")</t>
  </si>
  <si>
    <t xml:space="preserve">TEXT(0.999999,"yyyy-mm-dd")</t>
  </si>
  <si>
    <t xml:space="preserve">TEXT(-1.5,"yyyy-mm-dd")</t>
  </si>
  <si>
    <t xml:space="preserve">TEXT(45292.5,"dd/mm/yyyy")</t>
  </si>
  <si>
    <t xml:space="preserve">TEXT(45658.75123,"dd/mm/yyyy")</t>
  </si>
  <si>
    <t xml:space="preserve">TEXT(0.5,"dd/mm/yyyy")</t>
  </si>
  <si>
    <t xml:space="preserve">TEXT(1.999,"dd/mm/yyyy")</t>
  </si>
  <si>
    <t xml:space="preserve">TEXT(61,"dd/mm/yyyy")</t>
  </si>
  <si>
    <t xml:space="preserve">TEXT(36526.12345,"dd/mm/yyyy")</t>
  </si>
  <si>
    <t xml:space="preserve">TEXT(0.999999,"dd/mm/yyyy")</t>
  </si>
  <si>
    <t xml:space="preserve">TEXT(-1.5,"dd/mm/yyyy")</t>
  </si>
  <si>
    <t xml:space="preserve">TEXT(45292.5,"d-mmm-yy")</t>
  </si>
  <si>
    <t xml:space="preserve">TEXT(45658.75123,"d-mmm-yy")</t>
  </si>
  <si>
    <t xml:space="preserve">TEXT(0.5,"d-mmm-yy")</t>
  </si>
  <si>
    <t xml:space="preserve">TEXT(1.999,"d-mmm-yy")</t>
  </si>
  <si>
    <t xml:space="preserve">TEXT(61,"d-mmm-yy")</t>
  </si>
  <si>
    <t xml:space="preserve">TEXT(36526.12345,"d-mmm-yy")</t>
  </si>
  <si>
    <t xml:space="preserve">TEXT(0.999999,"d-mmm-yy")</t>
  </si>
  <si>
    <t xml:space="preserve">TEXT(-1.5,"d-mmm-yy")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</si>
  <si>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</si>
  <si>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</si>
  <si>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</si>
  <si>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</si>
  <si>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</si>
  <si>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</si>
  <si>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</si>
  <si>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</si>
  <si>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TEXT(45292.5,"mmm")</t>
  </si>
  <si>
    <t xml:space="preserve">TEXT(45658.75123,"mmm")</t>
  </si>
  <si>
    <t xml:space="preserve">TEXT(0.5,"mmm")</t>
  </si>
  <si>
    <t xml:space="preserve">TEXT(1.999,"mmm")</t>
  </si>
  <si>
    <t xml:space="preserve">TEXT(61,"mmm")</t>
  </si>
  <si>
    <t xml:space="preserve">TEXT(36526.12345,"mmm")</t>
  </si>
  <si>
    <t xml:space="preserve">TEXT(0.999999,"mmm")</t>
  </si>
  <si>
    <t xml:space="preserve">TEXT(-1.5,"mmm")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</si>
  <si>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</si>
  <si>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</si>
  <si>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</si>
  <si>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</si>
  <si>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</si>
  <si>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</si>
  <si>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</si>
  <si>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</si>
  <si>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TEXT(45292.5,"ddd")</t>
  </si>
  <si>
    <t xml:space="preserve">TEXT(45658.75123,"ddd")</t>
  </si>
  <si>
    <t xml:space="preserve">TEXT(0.5,"ddd")</t>
  </si>
  <si>
    <t xml:space="preserve">TEXT(1.999,"ddd")</t>
  </si>
  <si>
    <t xml:space="preserve">TEXT(61,"ddd")</t>
  </si>
  <si>
    <t xml:space="preserve">TEXT(36526.12345,"ddd")</t>
  </si>
  <si>
    <t xml:space="preserve">TEXT(0.999999,"ddd")</t>
  </si>
  <si>
    <t xml:space="preserve">TEXT(-1.5,"ddd")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</si>
  <si>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</si>
  <si>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</si>
  <si>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</si>
  <si>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</si>
  <si>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</si>
  <si>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</si>
  <si>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</si>
  <si>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</si>
  <si>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TEXT(45292.5,"hh:mm:ss")</t>
  </si>
  <si>
    <t xml:space="preserve">TEXT(45658.75123,"hh:mm:ss")</t>
  </si>
  <si>
    <t xml:space="preserve">TEXT(0.5,"hh:mm:ss")</t>
  </si>
  <si>
    <t xml:space="preserve">TEXT(1.999,"hh:mm:ss")</t>
  </si>
  <si>
    <t xml:space="preserve">TEXT(61,"hh:mm:ss")</t>
  </si>
  <si>
    <t xml:space="preserve">TEXT(36526.12345,"hh:mm:ss")</t>
  </si>
  <si>
    <t xml:space="preserve">TEXT(0.999999,"hh:mm:ss")</t>
  </si>
  <si>
    <t xml:space="preserve">TEXT(-1.5,"hh:mm:ss")</t>
  </si>
  <si>
    <t xml:space="preserve">TEXT(45292.5,"h:mm AM/PM")</t>
  </si>
  <si>
    <t xml:space="preserve">TEXT(45658.75123,"h:mm AM/PM")</t>
  </si>
  <si>
    <t xml:space="preserve">TEXT(0.5,"h:mm AM/PM")</t>
  </si>
  <si>
    <t xml:space="preserve">TEXT(1.999,"h:mm AM/PM")</t>
  </si>
  <si>
    <t xml:space="preserve">TEXT(61,"h:mm AM/PM")</t>
  </si>
  <si>
    <t xml:space="preserve">TEXT(36526.12345,"h:mm AM/PM")</t>
  </si>
  <si>
    <t xml:space="preserve">TEXT(0.999999,"h:mm AM/PM")</t>
  </si>
  <si>
    <t xml:space="preserve">TEXT(-1.5,"h:mm AM/PM")</t>
  </si>
  <si>
    <t xml:space="preserve">TEXT(45292.5,"hh:mm:ss.000")</t>
  </si>
  <si>
    <t xml:space="preserve">TEXT(45658.75123,"hh:mm:ss.000")</t>
  </si>
  <si>
    <t xml:space="preserve">TEXT(0.5,"hh:mm:ss.000")</t>
  </si>
  <si>
    <t xml:space="preserve">TEXT(1.999,"hh:mm:ss.000")</t>
  </si>
  <si>
    <t xml:space="preserve">TEXT(61,"hh:mm:ss.000")</t>
  </si>
  <si>
    <t xml:space="preserve">TEXT(36526.12345,"hh:mm:ss.000")</t>
  </si>
  <si>
    <t xml:space="preserve">TEXT(0.999999,"hh:mm:ss.000")</t>
  </si>
  <si>
    <t xml:space="preserve">TEXT(-1.5,"hh:mm:ss.000")</t>
  </si>
  <si>
    <t xml:space="preserve">TEXT(45292.5,"hh:mm:ss.0")</t>
  </si>
  <si>
    <t xml:space="preserve">TEXT(45658.75123,"hh:mm:ss.0")</t>
  </si>
  <si>
    <t xml:space="preserve">TEXT(0.5,"hh:mm:ss.0")</t>
  </si>
  <si>
    <t xml:space="preserve">TEXT(1.999,"hh:mm:ss.0")</t>
  </si>
  <si>
    <t xml:space="preserve">TEXT(61,"hh:mm:ss.0")</t>
  </si>
  <si>
    <t xml:space="preserve">TEXT(36526.12345,"hh:mm:ss.0")</t>
  </si>
  <si>
    <t xml:space="preserve">TEXT(0.999999,"hh:mm:ss.0")</t>
  </si>
  <si>
    <t xml:space="preserve">TEXT(-1.5,"hh:mm:ss.0")</t>
  </si>
  <si>
    <t xml:space="preserve">TEXT(45292.5,"[h]:mm")</t>
  </si>
  <si>
    <t xml:space="preserve">TEXT(45658.75123,"[h]:mm")</t>
  </si>
  <si>
    <t xml:space="preserve">TEXT(0.5,"[h]:mm")</t>
  </si>
  <si>
    <t xml:space="preserve">TEXT(1.999,"[h]:mm")</t>
  </si>
  <si>
    <t xml:space="preserve">TEXT(61,"[h]:mm")</t>
  </si>
  <si>
    <t xml:space="preserve">TEXT(36526.12345,"[h]:mm")</t>
  </si>
  <si>
    <t xml:space="preserve">TEXT(0.999999,"[h]:mm")</t>
  </si>
  <si>
    <t xml:space="preserve">TEXT(-1.5,"[h]:mm")</t>
  </si>
  <si>
    <t xml:space="preserve">TEXT(45292.5,"[m]")</t>
  </si>
  <si>
    <t xml:space="preserve">TEXT(45658.75123,"[m]")</t>
  </si>
  <si>
    <t xml:space="preserve">TEXT(0.5,"[m]")</t>
  </si>
  <si>
    <t xml:space="preserve">TEXT(1.999,"[m]")</t>
  </si>
  <si>
    <t xml:space="preserve">TEXT(61,"[m]")</t>
  </si>
  <si>
    <t xml:space="preserve">TEXT(36526.12345,"[m]")</t>
  </si>
  <si>
    <t xml:space="preserve">TEXT(0.999999,"[m]")</t>
  </si>
  <si>
    <t xml:space="preserve">TEXT(-1.5,"[m]")</t>
  </si>
  <si>
    <t xml:space="preserve">TEXT(45292.5,"[s]")</t>
  </si>
  <si>
    <t xml:space="preserve">TEXT(45658.75123,"[s]")</t>
  </si>
  <si>
    <t xml:space="preserve">TEXT(0.5,"[s]")</t>
  </si>
  <si>
    <t xml:space="preserve">TEXT(1.999,"[s]")</t>
  </si>
  <si>
    <t xml:space="preserve">TEXT(61,"[s]")</t>
  </si>
  <si>
    <t xml:space="preserve">TEXT(36526.12345,"[s]")</t>
  </si>
  <si>
    <t xml:space="preserve">TEXT(0.999999,"[s]")</t>
  </si>
  <si>
    <t xml:space="preserve">TEXT(-1.5,"[s]")</t>
  </si>
  <si>
    <t xml:space="preserve">TEXT(45292.5,"mm:ss")</t>
  </si>
  <si>
    <t xml:space="preserve">TEXT(45658.75123,"mm:ss")</t>
  </si>
  <si>
    <t xml:space="preserve">TEXT(0.5,"mm:ss")</t>
  </si>
  <si>
    <t xml:space="preserve">TEXT(1.999,"mm:ss")</t>
  </si>
  <si>
    <t xml:space="preserve">TEXT(61,"mm:ss")</t>
  </si>
  <si>
    <t xml:space="preserve">TEXT(36526.12345,"mm:ss")</t>
  </si>
  <si>
    <t xml:space="preserve">TEXT(0.999999,"mm:ss")</t>
  </si>
  <si>
    <t xml:space="preserve">TEXT(-1.5,"mm:ss")</t>
  </si>
  <si>
    <t xml:space="preserve">TEXT(45292.5,"yy")</t>
  </si>
  <si>
    <t xml:space="preserve">TEXT(45658.75123,"yy")</t>
  </si>
  <si>
    <t xml:space="preserve">TEXT(0.5,"yy")</t>
  </si>
  <si>
    <t xml:space="preserve">TEXT(1.999,"yy")</t>
  </si>
  <si>
    <t xml:space="preserve">TEXT(61,"yy")</t>
  </si>
  <si>
    <t xml:space="preserve">TEXT(36526.12345,"yy")</t>
  </si>
  <si>
    <t xml:space="preserve">TEXT(0.999999,"yy")</t>
  </si>
  <si>
    <t xml:space="preserve">TEXT(-1.5,"yy")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</si>
  <si>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</si>
  <si>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</si>
  <si>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</si>
  <si>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</si>
  <si>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</si>
  <si>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</si>
  <si>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</si>
  <si>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</si>
  <si>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TEXT(45292.5,"m/d/yy")</t>
  </si>
  <si>
    <t xml:space="preserve">TEXT(45658.75123,"m/d/yy")</t>
  </si>
  <si>
    <t xml:space="preserve">TEXT(0.5,"m/d/yy")</t>
  </si>
  <si>
    <t xml:space="preserve">TEXT(1.999,"m/d/yy")</t>
  </si>
  <si>
    <t xml:space="preserve">TEXT(61,"m/d/yy")</t>
  </si>
  <si>
    <t xml:space="preserve">TEXT(36526.12345,"m/d/yy")</t>
  </si>
  <si>
    <t xml:space="preserve">TEXT(0.999999,"m/d/yy")</t>
  </si>
  <si>
    <t xml:space="preserve">TEXT(-1.5,"m/d/yy")</t>
  </si>
  <si>
    <t xml:space="preserve">TEXT(45292.5,"d")</t>
  </si>
  <si>
    <t xml:space="preserve">TEXT(45658.75123,"d")</t>
  </si>
  <si>
    <t xml:space="preserve">TEXT(0.5,"d")</t>
  </si>
  <si>
    <t xml:space="preserve">TEXT(1.999,"d")</t>
  </si>
  <si>
    <t xml:space="preserve">TEXT(61,"d")</t>
  </si>
  <si>
    <t xml:space="preserve">TEXT(36526.12345,"d")</t>
  </si>
  <si>
    <t xml:space="preserve">TEXT(0.999999,"d")</t>
  </si>
  <si>
    <t xml:space="preserve">TEXT(-1.5,"d")</t>
  </si>
  <si>
    <t xml:space="preserve">TEXT(45292.5,"dd")</t>
  </si>
  <si>
    <t xml:space="preserve">TEXT(45658.75123,"dd")</t>
  </si>
  <si>
    <t xml:space="preserve">TEXT(0.5,"dd")</t>
  </si>
  <si>
    <t xml:space="preserve">TEXT(1.999,"dd")</t>
  </si>
  <si>
    <t xml:space="preserve">TEXT(61,"dd")</t>
  </si>
  <si>
    <t xml:space="preserve">TEXT(36526.12345,"dd")</t>
  </si>
  <si>
    <t xml:space="preserve">TEXT(0.999999,"dd")</t>
  </si>
  <si>
    <t xml:space="preserve">TEXT(-1.5,"dd")</t>
  </si>
  <si>
    <t xml:space="preserve">TEXT(45292.5,"mmmmm")</t>
  </si>
  <si>
    <t xml:space="preserve">TEXT(45658.75123,"mmmmm")</t>
  </si>
  <si>
    <t xml:space="preserve">TEXT(0.5,"mmmmm")</t>
  </si>
  <si>
    <t xml:space="preserve">TEXT(1.999,"mmmmm")</t>
  </si>
  <si>
    <t xml:space="preserve">TEXT(61,"mmmmm")</t>
  </si>
  <si>
    <t xml:space="preserve">TEXT(36526.12345,"mmmmm")</t>
  </si>
  <si>
    <t xml:space="preserve">TEXT(0.999999,"mmmmm")</t>
  </si>
  <si>
    <t xml:space="preserve">TEXT(-1.5,"mmmmm")</t>
  </si>
  <si>
    <t xml:space="preserve">TEXT(45292.5,"yyyy-mm-dd hh:mm")</t>
  </si>
  <si>
    <t xml:space="preserve">TEXT(45658.75123,"yyyy-mm-dd hh:mm")</t>
  </si>
  <si>
    <t xml:space="preserve">TEXT(0.5,"yyyy-mm-dd hh:mm")</t>
  </si>
  <si>
    <t xml:space="preserve">TEXT(1.999,"yyyy-mm-dd hh:mm")</t>
  </si>
  <si>
    <t xml:space="preserve">TEXT(61,"yyyy-mm-dd hh:mm")</t>
  </si>
  <si>
    <t xml:space="preserve">TEXT(36526.12345,"yyyy-mm-dd hh:mm")</t>
  </si>
  <si>
    <t xml:space="preserve">TEXT(0.999999,"yyyy-mm-dd hh:mm")</t>
  </si>
  <si>
    <t xml:space="preserve">TEXT(-1.5,"yyyy-mm-dd hh:mm")</t>
  </si>
  <si>
    <t xml:space="preserve">TEXT(45292.5,"AM/PM")</t>
  </si>
  <si>
    <t xml:space="preserve">TEXT(45658.75123,"AM/PM")</t>
  </si>
  <si>
    <t xml:space="preserve">TEXT(0.5,"AM/PM")</t>
  </si>
  <si>
    <t xml:space="preserve">TEXT(1.999,"AM/PM")</t>
  </si>
  <si>
    <t xml:space="preserve">TEXT(61,"AM/PM")</t>
  </si>
  <si>
    <t xml:space="preserve">TEXT(36526.12345,"AM/PM")</t>
  </si>
  <si>
    <t xml:space="preserve">TEXT(0.999999,"AM/PM")</t>
  </si>
  <si>
    <t xml:space="preserve">TEXT(-1.5,"AM/PM")</t>
  </si>
  <si>
    <t xml:space="preserve">TEXT(45292.5,"h A/P")</t>
  </si>
  <si>
    <t xml:space="preserve">TEXT(45658.75123,"h A/P")</t>
  </si>
  <si>
    <t xml:space="preserve">TEXT(0.5,"h A/P")</t>
  </si>
  <si>
    <t xml:space="preserve">TEXT(1.999,"h A/P")</t>
  </si>
  <si>
    <t xml:space="preserve">TEXT(61,"h A/P")</t>
  </si>
  <si>
    <t xml:space="preserve">TEXT(36526.12345,"h A/P")</t>
  </si>
  <si>
    <t xml:space="preserve">TEXT(0.999999,"h A/P")</t>
  </si>
  <si>
    <t xml:space="preserve">TEXT(-1.5,"h A/P")</t>
  </si>
  <si>
    <t xml:space="preserve">TEXT(45292.5,"mm")</t>
  </si>
  <si>
    <t xml:space="preserve">TEXT(45658.75123,"mm")</t>
  </si>
  <si>
    <t xml:space="preserve">TEXT(0.5,"mm")</t>
  </si>
  <si>
    <t xml:space="preserve">TEXT(1.999,"mm")</t>
  </si>
  <si>
    <t xml:space="preserve">TEXT(61,"mm")</t>
  </si>
  <si>
    <t xml:space="preserve">TEXT(36526.12345,"mm")</t>
  </si>
  <si>
    <t xml:space="preserve">TEXT(0.999999,"mm")</t>
  </si>
  <si>
    <t xml:space="preserve">TEXT(-1.5,"mm")</t>
  </si>
  <si>
    <t xml:space="preserve">TEXT(45292.5,"m")</t>
  </si>
  <si>
    <t xml:space="preserve">TEXT(45658.75123,"m")</t>
  </si>
  <si>
    <t xml:space="preserve">TEXT(0.5,"m")</t>
  </si>
  <si>
    <t xml:space="preserve">TEXT(1.999,"m")</t>
  </si>
  <si>
    <t xml:space="preserve">TEXT(61,"m")</t>
  </si>
  <si>
    <t xml:space="preserve">TEXT(36526.12345,"m")</t>
  </si>
  <si>
    <t xml:space="preserve">TEXT(0.999999,"m")</t>
  </si>
  <si>
    <t xml:space="preserve">TEXT(-1.5,"m")</t>
  </si>
  <si>
    <t xml:space="preserve">TEXT(45292.5,"mm-dd")</t>
  </si>
  <si>
    <t xml:space="preserve">TEXT(45658.75123,"mm-dd")</t>
  </si>
  <si>
    <t xml:space="preserve">TEXT(0.5,"mm-dd")</t>
  </si>
  <si>
    <t xml:space="preserve">TEXT(1.999,"mm-dd")</t>
  </si>
  <si>
    <t xml:space="preserve">TEXT(61,"mm-dd")</t>
  </si>
  <si>
    <t xml:space="preserve">TEXT(36526.12345,"mm-dd")</t>
  </si>
  <si>
    <t xml:space="preserve">TEXT(0.999999,"mm-dd")</t>
  </si>
  <si>
    <t xml:space="preserve">TEXT(-1.5,"mm-dd")</t>
  </si>
  <si>
    <t xml:space="preserve">TEXT(45292.5,"dd/mm/yyyy hh:mm:ss")</t>
  </si>
  <si>
    <t xml:space="preserve">TEXT(45658.75123,"dd/mm/yyyy hh:mm:ss")</t>
  </si>
  <si>
    <t xml:space="preserve">TEXT(0.5,"dd/mm/yyyy hh:mm:ss")</t>
  </si>
  <si>
    <t xml:space="preserve">TEXT(1.999,"dd/mm/yyyy hh:mm:ss")</t>
  </si>
  <si>
    <t xml:space="preserve">TEXT(61,"dd/mm/yyyy hh:mm:ss")</t>
  </si>
  <si>
    <t xml:space="preserve">TEXT(36526.12345,"dd/mm/yyyy hh:mm:ss")</t>
  </si>
  <si>
    <t xml:space="preserve">TEXT(0.999999,"dd/mm/yyyy hh:mm:ss")</t>
  </si>
  <si>
    <t xml:space="preserve">TEXT(-1.5,"dd/mm/yyyy hh:mm:ss")</t>
  </si>
  <si>
    <t xml:space="preserve">TEXT(45292.5,"[hh]:mm:ss")</t>
  </si>
  <si>
    <t xml:space="preserve">TEXT(45658.75123,"[hh]:mm:ss")</t>
  </si>
  <si>
    <t xml:space="preserve">TEXT(0.5,"[hh]:mm:ss")</t>
  </si>
  <si>
    <t xml:space="preserve">TEXT(1.999,"[hh]:mm:ss")</t>
  </si>
  <si>
    <t xml:space="preserve">TEXT(61,"[hh]:mm:ss")</t>
  </si>
  <si>
    <t xml:space="preserve">TEXT(36526.12345,"[hh]:mm:ss")</t>
  </si>
  <si>
    <t xml:space="preserve">TEXT(0.999999,"[hh]:mm:ss")</t>
  </si>
  <si>
    <t xml:space="preserve">TEXT(-1.5,"[hh]:mm:ss")</t>
  </si>
  <si>
    <t xml:space="preserve">TEXT(45292.5,"yyyy""/""mm")</t>
  </si>
  <si>
    <t xml:space="preserve">TEXT(45658.75123,"yyyy""/""mm")</t>
  </si>
  <si>
    <t xml:space="preserve">TEXT(0.5,"yyyy""/""mm")</t>
  </si>
  <si>
    <t xml:space="preserve">TEXT(1.999,"yyyy""/""mm")</t>
  </si>
  <si>
    <t xml:space="preserve">TEXT(61,"yyyy""/""mm")</t>
  </si>
  <si>
    <t xml:space="preserve">TEXT(36526.12345,"yyyy""/""mm")</t>
  </si>
  <si>
    <t xml:space="preserve">TEXT(0.999999,"yyyy""/""mm")</t>
  </si>
  <si>
    <t xml:space="preserve">TEXT(-1.5,"yyyy""/""mm")</t>
  </si>
  <si>
    <t xml:space="preserve">TEXT(45292.5,"ddd, d mmm yyyy")</t>
  </si>
  <si>
    <t xml:space="preserve">TEXT(45658.75123,"ddd, d mmm yyyy")</t>
  </si>
  <si>
    <t xml:space="preserve">TEXT(0.5,"ddd, d mmm yyyy")</t>
  </si>
  <si>
    <t xml:space="preserve">TEXT(1.999,"ddd, d mmm yyyy")</t>
  </si>
  <si>
    <t xml:space="preserve">TEXT(61,"ddd, d mmm yyyy")</t>
  </si>
  <si>
    <t xml:space="preserve">TEXT(36526.12345,"ddd, d mmm yyyy")</t>
  </si>
  <si>
    <t xml:space="preserve">TEXT(0.999999,"ddd, d mmm yyyy")</t>
  </si>
  <si>
    <t xml:space="preserve">TEXT(-1.5,"ddd, d mmm yyyy")</t>
  </si>
  <si>
    <t xml:space="preserve">TEXT(45292.5,"mm/dd/yy;@")</t>
  </si>
  <si>
    <t xml:space="preserve">TEXT(45658.75123,"mm/dd/yy;@")</t>
  </si>
  <si>
    <t xml:space="preserve">TEXT(0.5,"mm/dd/yy;@")</t>
  </si>
  <si>
    <t xml:space="preserve">TEXT(1.999,"mm/dd/yy;@")</t>
  </si>
  <si>
    <t xml:space="preserve">TEXT(61,"mm/dd/yy;@")</t>
  </si>
  <si>
    <t xml:space="preserve">TEXT(36526.12345,"mm/dd/yy;@")</t>
  </si>
  <si>
    <t xml:space="preserve">TEXT(0.999999,"mm/dd/yy;@")</t>
  </si>
  <si>
    <t xml:space="preserve">TEXT(-1.5,"mm/dd/yy;@")</t>
  </si>
  <si>
    <t xml:space="preserve">TEXT(45292.5,"[$-409]dddd")</t>
  </si>
  <si>
    <t xml:space="preserve">TEXT(45658.75123,"[$-409]dddd")</t>
  </si>
  <si>
    <t xml:space="preserve">TEXT(0.5,"[$-409]dddd")</t>
  </si>
  <si>
    <t xml:space="preserve">TEXT(1.999,"[$-409]dddd")</t>
  </si>
  <si>
    <t xml:space="preserve">TEXT(61,"[$-409]dddd")</t>
  </si>
  <si>
    <t xml:space="preserve">TEXT(36526.12345,"[$-409]dddd")</t>
  </si>
  <si>
    <t xml:space="preserve">TEXT(0.999999,"[$-409]dddd")</t>
  </si>
  <si>
    <t xml:space="preserve">TEXT(-1.5,"[$-409]dddd")</t>
  </si>
  <si>
    <t xml:space="preserve">TEXT(45292.5,"[$-40A]dddd")</t>
  </si>
  <si>
    <t xml:space="preserve">TEXT(45658.75123,"[$-40A]dddd")</t>
  </si>
  <si>
    <t xml:space="preserve">TEXT(0.5,"[$-40A]dddd")</t>
  </si>
  <si>
    <t xml:space="preserve">TEXT(1.999,"[$-40A]dddd")</t>
  </si>
  <si>
    <t xml:space="preserve">TEXT(61,"[$-40A]dddd")</t>
  </si>
  <si>
    <t xml:space="preserve">TEXT(36526.12345,"[$-40A]dddd")</t>
  </si>
  <si>
    <t xml:space="preserve">TEXT(0.999999,"[$-40A]dddd")</t>
  </si>
  <si>
    <t xml:space="preserve">TEXT(-1.5,"[$-40A]dddd")</t>
  </si>
  <si>
    <t xml:space="preserve">TEXT(45292.5,"h:mm:ss;@")</t>
  </si>
  <si>
    <t xml:space="preserve">TEXT(45658.75123,"h:mm:ss;@")</t>
  </si>
  <si>
    <t xml:space="preserve">TEXT(0.5,"h:mm:ss;@")</t>
  </si>
  <si>
    <t xml:space="preserve">TEXT(1.999,"h:mm:ss;@")</t>
  </si>
  <si>
    <t xml:space="preserve">TEXT(61,"h:mm:ss;@")</t>
  </si>
  <si>
    <t xml:space="preserve">TEXT(36526.12345,"h:mm:ss;@")</t>
  </si>
  <si>
    <t xml:space="preserve">TEXT(0.999999,"h:mm:ss;@")</t>
  </si>
  <si>
    <t xml:space="preserve">TEXT(-1.5,"h:mm:ss;@")</t>
  </si>
  <si>
    <t xml:space="preserve">TEXT(45292.5,"[Red]yyyy")</t>
  </si>
  <si>
    <t xml:space="preserve">TEXT(45658.75123,"[Red]yyyy")</t>
  </si>
  <si>
    <t xml:space="preserve">TEXT(0.5,"[Red]yyyy")</t>
  </si>
  <si>
    <t xml:space="preserve">TEXT(1.999,"[Red]yyyy")</t>
  </si>
  <si>
    <t xml:space="preserve">TEXT(61,"[Red]yyyy")</t>
  </si>
  <si>
    <t xml:space="preserve">TEXT(36526.12345,"[Red]yyyy")</t>
  </si>
  <si>
    <t xml:space="preserve">TEXT(0.999999,"[Red]yyyy")</t>
  </si>
  <si>
    <t xml:space="preserve">TEXT(-1.5,"[Red]yyyy")</t>
  </si>
  <si>
    <t xml:space="preserve">TEXT(45292.5,"yyyy [Blue]")</t>
  </si>
  <si>
    <t xml:space="preserve">TEXT(45658.75123,"yyyy [Blue]")</t>
  </si>
  <si>
    <t xml:space="preserve">TEXT(0.5,"yyyy [Blue]")</t>
  </si>
  <si>
    <t xml:space="preserve">TEXT(1.999,"yyyy [Blue]")</t>
  </si>
  <si>
    <t xml:space="preserve">TEXT(61,"yyyy [Blue]")</t>
  </si>
  <si>
    <t xml:space="preserve">TEXT(36526.12345,"yyyy [Blue]")</t>
  </si>
  <si>
    <t xml:space="preserve">TEXT(0.999999,"yyyy [Blue]")</t>
  </si>
  <si>
    <t xml:space="preserve">TEXT(-1.5,"yyyy [Blue]")</t>
  </si>
  <si>
    <t xml:space="preserve">TEXT(45292.5,"0.0 ""h""")</t>
  </si>
  <si>
    <t xml:space="preserve">TEXT(45658.75123,"0.0 ""h""")</t>
  </si>
  <si>
    <t xml:space="preserve">TEXT(0.5,"0.0 ""h""")</t>
  </si>
  <si>
    <t xml:space="preserve">TEXT(1.999,"0.0 ""h""")</t>
  </si>
  <si>
    <t xml:space="preserve">TEXT(61,"0.0 ""h""")</t>
  </si>
  <si>
    <t xml:space="preserve">TEXT(36526.12345,"0.0 ""h""")</t>
  </si>
  <si>
    <t xml:space="preserve">TEXT(0.999999,"0.0 ""h""")</t>
  </si>
  <si>
    <t xml:space="preserve">TEXT(-1.5,"0.0 ""h""")</t>
  </si>
  <si>
    <t xml:space="preserve">TEXT(45292.5,"d ""de"" mmmm ""de"" yyyy")</t>
  </si>
  <si>
    <t xml:space="preserve">TEXT(45658.75123,"d ""de"" mmmm ""de"" yyyy")</t>
  </si>
  <si>
    <t xml:space="preserve">TEXT(0.5,"d ""de"" mmmm ""de"" yyyy")</t>
  </si>
  <si>
    <t xml:space="preserve">TEXT(1.999,"d ""de"" mmmm ""de"" yyyy")</t>
  </si>
  <si>
    <t xml:space="preserve">TEXT(61,"d ""de"" mmmm ""de"" yyyy")</t>
  </si>
  <si>
    <t xml:space="preserve">TEXT(36526.12345,"d ""de"" mmmm ""de"" yyyy")</t>
  </si>
  <si>
    <t xml:space="preserve">TEXT(0.999999,"d ""de"" mmmm ""de"" yyyy")</t>
  </si>
  <si>
    <t xml:space="preserve">TEXT(-1.5,"d ""de"" mmmm ""de"" yyyy")</t>
  </si>
  <si>
    <t xml:space="preserve">TEXT(45292.5,"hh""h""mm")</t>
  </si>
  <si>
    <t xml:space="preserve">TEXT(45658.75123,"hh""h""mm")</t>
  </si>
  <si>
    <t xml:space="preserve">TEXT(0.5,"hh""h""mm")</t>
  </si>
  <si>
    <t xml:space="preserve">TEXT(1.999,"hh""h""mm")</t>
  </si>
  <si>
    <t xml:space="preserve">TEXT(61,"hh""h""mm")</t>
  </si>
  <si>
    <t xml:space="preserve">TEXT(36526.12345,"hh""h""mm")</t>
  </si>
  <si>
    <t xml:space="preserve">TEXT(0.999999,"hh""h""mm")</t>
  </si>
  <si>
    <t xml:space="preserve">TEXT(-1.5,"hh""h""mm")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</si>
  <si>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</si>
  <si>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</si>
  <si>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</si>
  <si>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</si>
  <si>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</si>
  <si>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</si>
  <si>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</si>
  <si>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</si>
  <si>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</si>
  <si>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</si>
  <si>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</si>
  <si>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</si>
  <si>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</si>
  <si>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</si>
  <si>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</si>
  <si>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</si>
  <si>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</si>
  <si>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</si>
  <si>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</si>
  <si>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</si>
  <si>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</si>
  <si>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</si>
  <si>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</si>
  <si>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</si>
  <si>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</si>
  <si>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</si>
  <si>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</si>
  <si>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</si>
  <si>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</si>
  <si>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</si>
  <si>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</si>
  <si>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</si>
  <si>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</si>
  <si>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</si>
  <si>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</si>
  <si>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</si>
  <si>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</si>
  <si>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</si>
  <si>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</si>
  <si>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</si>
  <si>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</si>
  <si>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</si>
  <si>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</si>
  <si>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</si>
  <si>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</si>
  <si>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</si>
  <si>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</si>
  <si>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</si>
  <si>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TEXT(45292.5,"ss")</t>
  </si>
  <si>
    <t xml:space="preserve">TEXT(45658.75123,"ss")</t>
  </si>
  <si>
    <t xml:space="preserve">TEXT(0.5,"ss")</t>
  </si>
  <si>
    <t xml:space="preserve">TEXT(1.999,"ss")</t>
  </si>
  <si>
    <t xml:space="preserve">TEXT(61,"ss")</t>
  </si>
  <si>
    <t xml:space="preserve">TEXT(36526.12345,"ss")</t>
  </si>
  <si>
    <t xml:space="preserve">TEXT(0.999999,"ss")</t>
  </si>
  <si>
    <t xml:space="preserve">TEXT(-1.5,"ss")</t>
  </si>
  <si>
    <t xml:space="preserve">TEXT(45292.5,"s.00")</t>
  </si>
  <si>
    <t xml:space="preserve">TEXT(45658.75123,"s.00")</t>
  </si>
  <si>
    <t xml:space="preserve">TEXT(0.5,"s.00")</t>
  </si>
  <si>
    <t xml:space="preserve">TEXT(1.999,"s.00")</t>
  </si>
  <si>
    <t xml:space="preserve">TEXT(61,"s.00")</t>
  </si>
  <si>
    <t xml:space="preserve">TEXT(36526.12345,"s.00")</t>
  </si>
  <si>
    <t xml:space="preserve">TEXT(0.999999,"s.00")</t>
  </si>
  <si>
    <t xml:space="preserve">TEXT(-1.5,"s.00")</t>
  </si>
  <si>
    <t xml:space="preserve">TEXT(45292.5,"[h]")</t>
  </si>
  <si>
    <t xml:space="preserve">TEXT(45658.75123,"[h]")</t>
  </si>
  <si>
    <t xml:space="preserve">TEXT(0.5,"[h]")</t>
  </si>
  <si>
    <t xml:space="preserve">TEXT(1.999,"[h]")</t>
  </si>
  <si>
    <t xml:space="preserve">TEXT(61,"[h]")</t>
  </si>
  <si>
    <t xml:space="preserve">TEXT(36526.12345,"[h]")</t>
  </si>
  <si>
    <t xml:space="preserve">TEXT(0.999999,"[h]")</t>
  </si>
  <si>
    <t xml:space="preserve">TEXT(-1.5,"[h]")</t>
  </si>
  <si>
    <t xml:space="preserve">TEXT(45292.5,"m:ss")</t>
  </si>
  <si>
    <t xml:space="preserve">TEXT(45658.75123,"m:ss")</t>
  </si>
  <si>
    <t xml:space="preserve">TEXT(0.5,"m:ss")</t>
  </si>
  <si>
    <t xml:space="preserve">TEXT(1.999,"m:ss")</t>
  </si>
  <si>
    <t xml:space="preserve">TEXT(61,"m:ss")</t>
  </si>
  <si>
    <t xml:space="preserve">TEXT(36526.12345,"m:ss")</t>
  </si>
  <si>
    <t xml:space="preserve">TEXT(0.999999,"m:ss")</t>
  </si>
  <si>
    <t xml:space="preserve">TEXT(-1.5,"m:ss")</t>
  </si>
  <si>
    <t xml:space="preserve">TEXT(45292.5,"mm:ss.0")</t>
  </si>
  <si>
    <t xml:space="preserve">TEXT(45658.75123,"mm:ss.0")</t>
  </si>
  <si>
    <t xml:space="preserve">TEXT(0.5,"mm:ss.0")</t>
  </si>
  <si>
    <t xml:space="preserve">TEXT(1.999,"mm:ss.0")</t>
  </si>
  <si>
    <t xml:space="preserve">TEXT(61,"mm:ss.0")</t>
  </si>
  <si>
    <t xml:space="preserve">TEXT(36526.12345,"mm:ss.0")</t>
  </si>
  <si>
    <t xml:space="preserve">TEXT(0.999999,"mm:ss.0")</t>
  </si>
  <si>
    <t xml:space="preserve">TEXT(-1.5,"mm:ss.0")</t>
  </si>
  <si>
    <t xml:space="preserve">TEXT(45292.5,"yyyy-mm-dd""T""hh:mm:ss")</t>
  </si>
  <si>
    <t xml:space="preserve">TEXT(45658.75123,"yyyy-mm-dd""T""hh:mm:ss")</t>
  </si>
  <si>
    <t xml:space="preserve">TEXT(0.5,"yyyy-mm-dd""T""hh:mm:ss")</t>
  </si>
  <si>
    <t xml:space="preserve">TEXT(1.999,"yyyy-mm-dd""T""hh:mm:ss")</t>
  </si>
  <si>
    <t xml:space="preserve">TEXT(61,"yyyy-mm-dd""T""hh:mm:ss")</t>
  </si>
  <si>
    <t xml:space="preserve">TEXT(36526.12345,"yyyy-mm-dd""T""hh:mm:ss")</t>
  </si>
  <si>
    <t xml:space="preserve">TEXT(0.999999,"yyyy-mm-dd""T""hh:mm:ss")</t>
  </si>
  <si>
    <t xml:space="preserve">TEXT(-1.5,"yyyy-mm-dd""T""hh:mm:ss")</t>
  </si>
  <si>
    <t xml:space="preserve">TEXT("abc","0;0;0;""t:""@")</t>
  </si>
  <si>
    <t xml:space="preserve">TEXT("abc","@@")</t>
  </si>
  <si>
    <t xml:space="preserve">TEXT("abc","0.00")</t>
  </si>
  <si>
    <t xml:space="preserve">1234.5678&amp;""</t>
  </si>
  <si>
    <t xml:space="preserve">0.5&amp;""</t>
  </si>
  <si>
    <t xml:space="preserve">VALUE("1,5")</t>
  </si>
  <si>
    <t xml:space="preserve">VALUE("1.5")</t>
  </si>
  <si>
    <t xml:space="preserve">VALUE("1.234,5")</t>
  </si>
  <si>
    <t xml:space="preserve">TEXT(1234.5,"#.##0,00")</t>
  </si>
  <si>
    <t xml:space="preserve">FIXED(1234.5678,2)</t>
  </si>
  <si>
    <t xml:space="preserve">FIXED(1234.5678,1,TRUE)</t>
  </si>
  <si>
    <t xml:space="preserve">TEXT(45292,"dddd d mmmm")</t>
  </si>
  <si>
    <t xml:space="preserve">TEXT(TRUE,"0")</t>
  </si>
  <si>
    <t xml:space="preserve">1/3&amp;""</t>
  </si>
  <si>
    <t xml:space="preserve">DATEVALUE("15/01/2024")</t>
  </si>
  <si>
    <t xml:space="preserve">_xlfn.NUMBERVALUE("1.234,5",",",".")</t>
  </si>
  <si>
    <t xml:space="preserve">3&gt;2&amp;""</t>
  </si>
  <si>
    <t xml:space="preserve">DOLLAR(1234.567,2)</t>
  </si>
  <si>
    <t xml:space="preserve">DOLLAR(-1234.567,2)</t>
  </si>
  <si>
    <t xml:space="preserve">DOLLAR(1234.567,0)</t>
  </si>
  <si>
    <t xml:space="preserve">DOLLAR(0.5,1)</t>
  </si>
  <si>
    <t xml:space="preserve">DOLLAR(-0.004,2)</t>
  </si>
  <si>
    <t xml:space="preserve">TEXT(0.5,"0%")</t>
  </si>
  <si>
    <t xml:space="preserve">TEXT(1234567.891,"#,##0.00")</t>
  </si>
  <si>
    <t xml:space="preserve">ROUND(1234.5678,2)&amp;""</t>
  </si>
  <si>
    <t xml:space="preserve">DATEVALUE("1 marzo 2024")</t>
  </si>
  <si>
    <t xml:space="preserve">DATEVALUE("marzo 1 2024")</t>
  </si>
  <si>
    <t xml:space="preserve">DATEVALUE("1 mar 2024")</t>
  </si>
  <si>
    <t xml:space="preserve">DATEVALUE("1 mar. 2024")</t>
  </si>
  <si>
    <t xml:space="preserve">DATEVALUE("1-mar-2024")</t>
  </si>
  <si>
    <t xml:space="preserve">DATEVALUE("1-Mar-24")</t>
  </si>
  <si>
    <t xml:space="preserve">DATEVALUE("2024-mar-1")</t>
  </si>
  <si>
    <t xml:space="preserve">DATEVALUE("mar 2024")</t>
  </si>
  <si>
    <t xml:space="preserve">DATEVALUE("marzo 2024")</t>
  </si>
  <si>
    <t xml:space="preserve">DATEVALUE("Mar 1 2024")</t>
  </si>
  <si>
    <t xml:space="preserve">DATEVALUE("Mar 24")</t>
  </si>
  <si>
    <t xml:space="preserve">DATEVALUE("1 Mar 24")</t>
  </si>
  <si>
    <t xml:space="preserve">DATEVALUE("Mar 1 24")</t>
  </si>
  <si>
    <t xml:space="preserve">DATEVALUE("MAR 1 2024")</t>
  </si>
  <si>
    <t xml:space="preserve">DATEVALUE("  1 marzo 2024 ")</t>
  </si>
  <si>
    <t xml:space="preserve">DATEVALUE("1 marzo 2024 10:30")</t>
  </si>
  <si>
    <t xml:space="preserve">DATEVALUE("31 mar 2024")</t>
  </si>
  <si>
    <t xml:space="preserve">DATEVALUE("Mar/1/2024")</t>
  </si>
  <si>
    <t xml:space="preserve">DATEVALUE("marzo 1, 2024")</t>
  </si>
  <si>
    <t xml:space="preserve">DATEVALUE("1 de marzo de 2024")</t>
  </si>
  <si>
    <t xml:space="preserve">DATEVALUE("March 1 2024")</t>
  </si>
  <si>
    <t xml:space="preserve">DATEVALUE("March 2024")</t>
  </si>
  <si>
    <t xml:space="preserve">DATEVALUE("1/Mar/2024")</t>
  </si>
  <si>
    <t xml:space="preserve">DATEVALUE("2024 mar 1")</t>
  </si>
  <si>
    <t xml:space="preserve">DATEVALUE("mar-1-2024")</t>
  </si>
  <si>
    <t xml:space="preserve">DATEVALUE("32 mar 2024")</t>
  </si>
  <si>
    <t xml:space="preserve">DATEVALUE("30 feb 2024")</t>
  </si>
  <si>
    <t xml:space="preserve">TODAY()</t>
  </si>
  <si>
    <t xml:space="preserve">DATEVALUE("13/3")</t>
  </si>
  <si>
    <t xml:space="preserve">DATEVALUE("3/1")</t>
  </si>
  <si>
    <t xml:space="preserve">DATEVALUE("31/12")</t>
  </si>
  <si>
    <t xml:space="preserve">DATEVALUE("1/13")</t>
  </si>
  <si>
    <t xml:space="preserve">DATEVALUE("13/3/2024")</t>
  </si>
  <si>
    <t xml:space="preserve">DATEVALUE("3/1/24")</t>
  </si>
  <si>
    <t xml:space="preserve">DATEVALUE("31/12/99")</t>
  </si>
  <si>
    <t xml:space="preserve">DATEVALUE("1/13/2024")</t>
  </si>
  <si>
    <t xml:space="preserve">DATEVALUE("3/13/2024")</t>
  </si>
  <si>
    <t xml:space="preserve">DATEVALUE("1/3/24")</t>
  </si>
  <si>
    <t xml:space="preserve">DATEVALUE("12/31/99")</t>
  </si>
  <si>
    <t xml:space="preserve">DATEVALUE("13/1/2024")</t>
  </si>
  <si>
    <t xml:space="preserve">DATEVALUE("2024/3/13")</t>
  </si>
  <si>
    <t xml:space="preserve">DATEVALUE("24/1/3")</t>
  </si>
  <si>
    <t xml:space="preserve">DATEVALUE("99/12/31")</t>
  </si>
  <si>
    <t xml:space="preserve">DATEVALUE("2024/13/1")</t>
  </si>
  <si>
    <t xml:space="preserve">DATEVALUE("13.3.2024")</t>
  </si>
  <si>
    <t xml:space="preserve">DATEVALUE("3.1.24")</t>
  </si>
  <si>
    <t xml:space="preserve">DATEVALUE("31.12.99")</t>
  </si>
  <si>
    <t xml:space="preserve">DATEVALUE("1.13.2024")</t>
  </si>
  <si>
    <t xml:space="preserve">DATEVALUE("13-3-2024")</t>
  </si>
  <si>
    <t xml:space="preserve">DATEVALUE("3-1-24")</t>
  </si>
  <si>
    <t xml:space="preserve">DATEVALUE("31-12-99")</t>
  </si>
  <si>
    <t xml:space="preserve">DATEVALUE("1-13-2024")</t>
  </si>
  <si>
    <t xml:space="preserve">DATEVALUE("3-13-2024")</t>
  </si>
  <si>
    <t xml:space="preserve">DATEVALUE("1-3-24")</t>
  </si>
  <si>
    <t xml:space="preserve">DATEVALUE("12-31-99")</t>
  </si>
  <si>
    <t xml:space="preserve">DATEVALUE("13-1-2024")</t>
  </si>
  <si>
    <t xml:space="preserve">DATEVALUE("2024-3-13")</t>
  </si>
  <si>
    <t xml:space="preserve">DATEVALUE("24-1-3")</t>
  </si>
  <si>
    <t xml:space="preserve">DATEVALUE("99-12-31")</t>
  </si>
  <si>
    <t xml:space="preserve">DATEVALUE("2024-13-1")</t>
  </si>
  <si>
    <t xml:space="preserve">DATEVALUE("13.3.")</t>
  </si>
  <si>
    <t xml:space="preserve">DATEVALUE("3.1.")</t>
  </si>
  <si>
    <t xml:space="preserve">DATEVALUE("31.12.")</t>
  </si>
  <si>
    <t xml:space="preserve">DATEVALUE("1.13.")</t>
  </si>
  <si>
    <t xml:space="preserve">DATEVALUE("3/13")</t>
  </si>
  <si>
    <t xml:space="preserve">DATEVALUE("1/3")</t>
  </si>
  <si>
    <t xml:space="preserve">DATEVALUE("12/31")</t>
  </si>
  <si>
    <t xml:space="preserve">DATEVALUE("13/1")</t>
  </si>
  <si>
    <t xml:space="preserve">DATEVALUE("13-3")</t>
  </si>
  <si>
    <t xml:space="preserve">DATEVALUE("3-1")</t>
  </si>
  <si>
    <t xml:space="preserve">DATEVALUE("31-12")</t>
  </si>
  <si>
    <t xml:space="preserve">DATEVALUE("1-13")</t>
  </si>
  <si>
    <t xml:space="preserve">DATEVALUE("2024-03-13")</t>
  </si>
  <si>
    <t xml:space="preserve">DATEVALUE("24-03-13")</t>
  </si>
  <si>
    <t xml:space="preserve">DATEVALUE("2024-3-1 10:00")</t>
  </si>
  <si>
    <t xml:space="preserve">DATEVALUE("3/1/2024 10:00")</t>
  </si>
  <si>
    <t xml:space="preserve">DATEVALUE("3.1.2024 10:00")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</si>
  <si>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</si>
  <si>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</si>
  <si>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</si>
  <si>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</si>
  <si>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</si>
  <si>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</si>
  <si>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</si>
  <si>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</si>
  <si>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</si>
  <si>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</si>
  <si>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</si>
  <si>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</si>
  <si>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</si>
  <si>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</si>
  <si>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</si>
  <si>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</si>
  <si>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</si>
  <si>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</si>
  <si>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</si>
  <si>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</si>
  <si>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</si>
  <si>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</si>
  <si>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</si>
  <si>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</si>
  <si>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</si>
  <si>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</si>
  <si>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</si>
  <si>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</si>
  <si>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</si>
  <si>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</si>
  <si>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</si>
  <si>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 13 2024")</t>
  </si>
  <si>
    <t xml:space="preserve">DATEVALUE("13 mar 2024")</t>
  </si>
  <si>
    <t xml:space="preserve">DATEVALUE("2024 mar 13")</t>
  </si>
  <si>
    <t xml:space="preserve">DATEVALUE("mar 13")</t>
  </si>
  <si>
    <t xml:space="preserve">DATEVALUE("13 mar")</t>
  </si>
  <si>
    <t xml:space="preserve">DATEVALUE("2024 mar")</t>
  </si>
  <si>
    <t xml:space="preserve">DATEVALUE("mar 13 25")</t>
  </si>
  <si>
    <t xml:space="preserve">DATEVALUE("13 mar 25")</t>
  </si>
  <si>
    <t xml:space="preserve">DATEVALUE("mar-13-2024")</t>
  </si>
  <si>
    <t xml:space="preserve">DATEVALUE("13-mar-2024")</t>
  </si>
  <si>
    <t xml:space="preserve">DATEVALUE("2024-mar-13")</t>
  </si>
  <si>
    <t xml:space="preserve">DATEVALUE("mar-13")</t>
  </si>
  <si>
    <t xml:space="preserve">DATEVALUE("13-mar")</t>
  </si>
  <si>
    <t xml:space="preserve">DATEVALUE("mar-2024")</t>
  </si>
  <si>
    <t xml:space="preserve">DATEVALUE("2024-mar")</t>
  </si>
  <si>
    <t xml:space="preserve">DATEVALUE("mar-13-25")</t>
  </si>
  <si>
    <t xml:space="preserve">DATEVALUE("13-mar-25")</t>
  </si>
  <si>
    <t xml:space="preserve">DATEVALUE("mar/13/2024")</t>
  </si>
  <si>
    <t xml:space="preserve">DATEVALUE("13/mar/2024")</t>
  </si>
  <si>
    <t xml:space="preserve">DATEVALUE("2024/mar/13")</t>
  </si>
  <si>
    <t xml:space="preserve">DATEVALUE("mar/13")</t>
  </si>
  <si>
    <t xml:space="preserve">DATEVALUE("13/mar")</t>
  </si>
  <si>
    <t xml:space="preserve">DATEVALUE("mar/2024")</t>
  </si>
  <si>
    <t xml:space="preserve">DATEVALUE("2024/mar")</t>
  </si>
  <si>
    <t xml:space="preserve">DATEVALUE("mar/13/25")</t>
  </si>
  <si>
    <t xml:space="preserve">DATEVALUE("13/mar/25")</t>
  </si>
  <si>
    <t xml:space="preserve">DATEVALUE("13. mar 2024")</t>
  </si>
  <si>
    <t xml:space="preserve">DATEVALUE("13. mar")</t>
  </si>
  <si>
    <t xml:space="preserve">DATEVALUE("mar 13, 2024")</t>
  </si>
  <si>
    <t xml:space="preserve">DATEVALUE("Monday mar 13 2024")</t>
  </si>
  <si>
    <t xml:space="preserve">DATEVALUE("mar 13 2024 lunes")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</si>
  <si>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</si>
  <si>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</si>
  <si>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</si>
  <si>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</si>
  <si>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</si>
  <si>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DATEVALUE("MARZO 2024")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</si>
  <si>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</si>
  <si>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</si>
  <si>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</si>
  <si>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</si>
  <si>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</si>
  <si>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</si>
  <si>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</si>
  <si>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</si>
  <si>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</si>
  <si>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</si>
  <si>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</si>
  <si>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</si>
  <si>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</si>
  <si>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</si>
  <si>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</si>
  <si>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</si>
  <si>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</si>
  <si>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</si>
  <si>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</si>
  <si>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</si>
  <si>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</si>
  <si>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</si>
  <si>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</si>
  <si>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</si>
  <si>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</si>
  <si>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</si>
  <si>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DATEVALUE("mar. 13 2024")</t>
  </si>
  <si>
    <t xml:space="preserve">DATEVALUE("13 mar. 2024")</t>
  </si>
  <si>
    <t xml:space="preserve">DATEVALUE("2024 mar. 13")</t>
  </si>
  <si>
    <t xml:space="preserve">DATEVALUE("mar. 13")</t>
  </si>
  <si>
    <t xml:space="preserve">DATEVALUE("13 mar.")</t>
  </si>
  <si>
    <t xml:space="preserve">DATEVALUE("mar. 2024")</t>
  </si>
  <si>
    <t xml:space="preserve">DATEVALUE("2024 mar.")</t>
  </si>
  <si>
    <t xml:space="preserve">DATEVALUE("mar. 13 25")</t>
  </si>
  <si>
    <t xml:space="preserve">DATEVALUE("13 mar. 25")</t>
  </si>
  <si>
    <t xml:space="preserve">DATEVALUE("mar.-13-2024")</t>
  </si>
  <si>
    <t xml:space="preserve">DATEVALUE("13-mar.-2024")</t>
  </si>
  <si>
    <t xml:space="preserve">DATEVALUE("2024-mar.-13")</t>
  </si>
  <si>
    <t xml:space="preserve">DATEVALUE("mar.-13")</t>
  </si>
  <si>
    <t xml:space="preserve">DATEVALUE("13-mar.")</t>
  </si>
  <si>
    <t xml:space="preserve">DATEVALUE("mar.-2024")</t>
  </si>
  <si>
    <t xml:space="preserve">DATEVALUE("2024-mar.")</t>
  </si>
  <si>
    <t xml:space="preserve">DATEVALUE("mar.-13-25")</t>
  </si>
  <si>
    <t xml:space="preserve">DATEVALUE("13-mar.-25")</t>
  </si>
  <si>
    <t xml:space="preserve">DATEVALUE("mar./13/2024")</t>
  </si>
  <si>
    <t xml:space="preserve">DATEVALUE("13/mar./2024")</t>
  </si>
  <si>
    <t xml:space="preserve">DATEVALUE("2024/mar./13")</t>
  </si>
  <si>
    <t xml:space="preserve">DATEVALUE("mar./13")</t>
  </si>
  <si>
    <t xml:space="preserve">DATEVALUE("13/mar.")</t>
  </si>
  <si>
    <t xml:space="preserve">DATEVALUE("mar./2024")</t>
  </si>
  <si>
    <t xml:space="preserve">DATEVALUE("2024/mar.")</t>
  </si>
  <si>
    <t xml:space="preserve">DATEVALUE("mar./13/25")</t>
  </si>
  <si>
    <t xml:space="preserve">DATEVALUE("13/mar./25")</t>
  </si>
  <si>
    <t xml:space="preserve">DATEVALUE("13. mar. 2024")</t>
  </si>
  <si>
    <t xml:space="preserve">DATEVALUE("13. mar.")</t>
  </si>
  <si>
    <t xml:space="preserve">DATEVALUE("mar. 13, 2024")</t>
  </si>
  <si>
    <t xml:space="preserve">DATEVALUE("Monday mar. 13 2024")</t>
  </si>
  <si>
    <t xml:space="preserve">DATEVALUE("mar. 13 2024 lunes")</t>
  </si>
  <si>
    <t xml:space="preserve">DATEVALUE("Sept 13 2024")</t>
  </si>
  <si>
    <t xml:space="preserve">DATEVALUE("13 Sept 2024")</t>
  </si>
  <si>
    <t xml:space="preserve">DATEVALUE("2024 Sept 13")</t>
  </si>
  <si>
    <t xml:space="preserve">DATEVALUE("Sept 13")</t>
  </si>
  <si>
    <t xml:space="preserve">DATEVALUE("13 Sept")</t>
  </si>
  <si>
    <t xml:space="preserve">DATEVALUE("Sept 2024")</t>
  </si>
  <si>
    <t xml:space="preserve">DATEVALUE("2024 Sept")</t>
  </si>
  <si>
    <t xml:space="preserve">DATEVALUE("Sept 13 25")</t>
  </si>
  <si>
    <t xml:space="preserve">DATEVALUE("13 Sept 25")</t>
  </si>
  <si>
    <t xml:space="preserve">DATEVALUE("Sept-13-2024")</t>
  </si>
  <si>
    <t xml:space="preserve">DATEVALUE("13-Sept-2024")</t>
  </si>
  <si>
    <t xml:space="preserve">DATEVALUE("2024-Sept-13")</t>
  </si>
  <si>
    <t xml:space="preserve">DATEVALUE("Sept-13")</t>
  </si>
  <si>
    <t xml:space="preserve">DATEVALUE("13-Sept")</t>
  </si>
  <si>
    <t xml:space="preserve">DATEVALUE("Sept-2024")</t>
  </si>
  <si>
    <t xml:space="preserve">DATEVALUE("2024-Sept")</t>
  </si>
  <si>
    <t xml:space="preserve">DATEVALUE("Sept-13-25")</t>
  </si>
  <si>
    <t xml:space="preserve">DATEVALUE("13-Sept-25")</t>
  </si>
  <si>
    <t xml:space="preserve">DATEVALUE("Sept/13/2024")</t>
  </si>
  <si>
    <t xml:space="preserve">DATEVALUE("13/Sept/2024")</t>
  </si>
  <si>
    <t xml:space="preserve">DATEVALUE("2024/Sept/13")</t>
  </si>
  <si>
    <t xml:space="preserve">DATEVALUE("Sept/13")</t>
  </si>
  <si>
    <t xml:space="preserve">DATEVALUE("13/Sept")</t>
  </si>
  <si>
    <t xml:space="preserve">DATEVALUE("Sept/2024")</t>
  </si>
  <si>
    <t xml:space="preserve">DATEVALUE("2024/Sept")</t>
  </si>
  <si>
    <t xml:space="preserve">DATEVALUE("Sept/13/25")</t>
  </si>
  <si>
    <t xml:space="preserve">DATEVALUE("13/Sept/25")</t>
  </si>
  <si>
    <t xml:space="preserve">DATEVALUE("13. Sept 2024")</t>
  </si>
  <si>
    <t xml:space="preserve">DATEVALUE("13. Sept")</t>
  </si>
  <si>
    <t xml:space="preserve">DATEVALUE("Sept 13, 2024")</t>
  </si>
  <si>
    <t xml:space="preserve">DATEVALUE("Monday Sept 13 2024")</t>
  </si>
  <si>
    <t xml:space="preserve">DATEVALUE("Sept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</si>
  <si>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</si>
  <si>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</si>
  <si>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</si>
  <si>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</si>
  <si>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</si>
  <si>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</si>
  <si>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</si>
  <si>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</si>
  <si>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</si>
  <si>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</si>
  <si>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</si>
  <si>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</si>
  <si>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</si>
  <si>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</si>
  <si>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</si>
  <si>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</si>
  <si>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</si>
  <si>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</si>
  <si>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</si>
  <si>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</si>
  <si>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</si>
  <si>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</si>
  <si>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</si>
  <si>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</si>
  <si>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</si>
  <si>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</si>
  <si>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</si>
  <si>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</si>
  <si>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</si>
  <si>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</si>
  <si>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</si>
  <si>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</si>
  <si>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 13 2024")</t>
  </si>
  <si>
    <t xml:space="preserve">DATEVALUE("13 sep 2024")</t>
  </si>
  <si>
    <t xml:space="preserve">DATEVALUE("2024 sep 13")</t>
  </si>
  <si>
    <t xml:space="preserve">DATEVALUE("sep 13")</t>
  </si>
  <si>
    <t xml:space="preserve">DATEVALUE("13 sep")</t>
  </si>
  <si>
    <t xml:space="preserve">DATEVALUE("sep 2024")</t>
  </si>
  <si>
    <t xml:space="preserve">DATEVALUE("2024 sep")</t>
  </si>
  <si>
    <t xml:space="preserve">DATEVALUE("sep 13 25")</t>
  </si>
  <si>
    <t xml:space="preserve">DATEVALUE("13 sep 25")</t>
  </si>
  <si>
    <t xml:space="preserve">DATEVALUE("sep-13-2024")</t>
  </si>
  <si>
    <t xml:space="preserve">DATEVALUE("13-sep-2024")</t>
  </si>
  <si>
    <t xml:space="preserve">DATEVALUE("2024-sep-13")</t>
  </si>
  <si>
    <t xml:space="preserve">DATEVALUE("sep-13")</t>
  </si>
  <si>
    <t xml:space="preserve">DATEVALUE("13-sep")</t>
  </si>
  <si>
    <t xml:space="preserve">DATEVALUE("sep-2024")</t>
  </si>
  <si>
    <t xml:space="preserve">DATEVALUE("2024-sep")</t>
  </si>
  <si>
    <t xml:space="preserve">DATEVALUE("sep-13-25")</t>
  </si>
  <si>
    <t xml:space="preserve">DATEVALUE("13-sep-25")</t>
  </si>
  <si>
    <t xml:space="preserve">DATEVALUE("sep/13/2024")</t>
  </si>
  <si>
    <t xml:space="preserve">DATEVALUE("13/sep/2024")</t>
  </si>
  <si>
    <t xml:space="preserve">DATEVALUE("2024/sep/13")</t>
  </si>
  <si>
    <t xml:space="preserve">DATEVALUE("sep/13")</t>
  </si>
  <si>
    <t xml:space="preserve">DATEVALUE("13/sep")</t>
  </si>
  <si>
    <t xml:space="preserve">DATEVALUE("sep/2024")</t>
  </si>
  <si>
    <t xml:space="preserve">DATEVALUE("2024/sep")</t>
  </si>
  <si>
    <t xml:space="preserve">DATEVALUE("sep/13/25")</t>
  </si>
  <si>
    <t xml:space="preserve">DATEVALUE("13/sep/25")</t>
  </si>
  <si>
    <t xml:space="preserve">DATEVALUE("13. sep 2024")</t>
  </si>
  <si>
    <t xml:space="preserve">DATEVALUE("13. sep")</t>
  </si>
  <si>
    <t xml:space="preserve">DATEVALUE("sep 13, 2024")</t>
  </si>
  <si>
    <t xml:space="preserve">DATEVALUE("Monday sep 13 2024")</t>
  </si>
  <si>
    <t xml:space="preserve">DATEVALUE("sep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</si>
  <si>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</si>
  <si>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</si>
  <si>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</si>
  <si>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</si>
  <si>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</si>
  <si>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</si>
  <si>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</si>
  <si>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</si>
  <si>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</si>
  <si>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</si>
  <si>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</si>
  <si>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</si>
  <si>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</si>
  <si>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</si>
  <si>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</si>
  <si>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</si>
  <si>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</si>
  <si>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</si>
  <si>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</si>
  <si>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</si>
  <si>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</si>
  <si>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</si>
  <si>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</si>
  <si>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</si>
  <si>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</si>
  <si>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</si>
  <si>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</si>
  <si>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</si>
  <si>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</si>
  <si>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</si>
  <si>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</si>
  <si>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</si>
  <si>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DATEVALUE("sep. 13 2024")</t>
  </si>
  <si>
    <t xml:space="preserve">DATEVALUE("13 sep. 2024")</t>
  </si>
  <si>
    <t xml:space="preserve">DATEVALUE("2024 sep. 13")</t>
  </si>
  <si>
    <t xml:space="preserve">DATEVALUE("sep. 13")</t>
  </si>
  <si>
    <t xml:space="preserve">DATEVALUE("13 sep.")</t>
  </si>
  <si>
    <t xml:space="preserve">DATEVALUE("sep. 2024")</t>
  </si>
  <si>
    <t xml:space="preserve">DATEVALUE("2024 sep.")</t>
  </si>
  <si>
    <t xml:space="preserve">DATEVALUE("sep. 13 25")</t>
  </si>
  <si>
    <t xml:space="preserve">DATEVALUE("13 sep. 25")</t>
  </si>
  <si>
    <t xml:space="preserve">DATEVALUE("sep.-13-2024")</t>
  </si>
  <si>
    <t xml:space="preserve">DATEVALUE("13-sep.-2024")</t>
  </si>
  <si>
    <t xml:space="preserve">DATEVALUE("2024-sep.-13")</t>
  </si>
  <si>
    <t xml:space="preserve">DATEVALUE("sep.-13")</t>
  </si>
  <si>
    <t xml:space="preserve">DATEVALUE("13-sep.")</t>
  </si>
  <si>
    <t xml:space="preserve">DATEVALUE("sep.-2024")</t>
  </si>
  <si>
    <t xml:space="preserve">DATEVALUE("2024-sep.")</t>
  </si>
  <si>
    <t xml:space="preserve">DATEVALUE("sep.-13-25")</t>
  </si>
  <si>
    <t xml:space="preserve">DATEVALUE("13-sep.-25")</t>
  </si>
  <si>
    <t xml:space="preserve">DATEVALUE("sep./13/2024")</t>
  </si>
  <si>
    <t xml:space="preserve">DATEVALUE("13/sep./2024")</t>
  </si>
  <si>
    <t xml:space="preserve">DATEVALUE("2024/sep./13")</t>
  </si>
  <si>
    <t xml:space="preserve">DATEVALUE("sep./13")</t>
  </si>
  <si>
    <t xml:space="preserve">DATEVALUE("13/sep.")</t>
  </si>
  <si>
    <t xml:space="preserve">DATEVALUE("sep./2024")</t>
  </si>
  <si>
    <t xml:space="preserve">DATEVALUE("2024/sep.")</t>
  </si>
  <si>
    <t xml:space="preserve">DATEVALUE("sep./13/25")</t>
  </si>
  <si>
    <t xml:space="preserve">DATEVALUE("13/sep./25")</t>
  </si>
  <si>
    <t xml:space="preserve">DATEVALUE("13. sep. 2024")</t>
  </si>
  <si>
    <t xml:space="preserve">DATEVALUE("13. sep.")</t>
  </si>
  <si>
    <t xml:space="preserve">DATEVALUE("sep. 13, 2024")</t>
  </si>
  <si>
    <t xml:space="preserve">DATEVALUE("Monday sep. 13 2024")</t>
  </si>
  <si>
    <t xml:space="preserve">DATEVALUE("sep. 13 2024 lunes")</t>
  </si>
  <si>
    <t xml:space="preserve">VALUE("1,234.5")</t>
  </si>
  <si>
    <t xml:space="preserve">VALUE("1 234,5")</t>
  </si>
  <si>
    <t xml:space="preserve">VALUE("1'234.5")</t>
  </si>
  <si>
    <t xml:space="preserve">VALUE("12%")</t>
  </si>
  <si>
    <t xml:space="preserve">VALUE("13:30")</t>
  </si>
  <si>
    <t xml:space="preserve">VALUE("1:30 PM")</t>
  </si>
  <si>
    <t xml:space="preserve">VALUE("1,234")</t>
  </si>
  <si>
    <t xml:space="preserve">VALUE("1.234")</t>
  </si>
  <si>
    <t xml:space="preserve">TEXT(1234.5678,"#,##0.00;[Red]-#,##0.00")</t>
  </si>
  <si>
    <t xml:space="preserve">TEXT(-1234.5678,"#,##0.00;[Red]-#,##0.00")</t>
  </si>
  <si>
    <t xml:space="preserve">TEXT(0.5,"#,##0.00;[Red]-#,##0.00")</t>
  </si>
  <si>
    <t xml:space="preserve">TEXT(45367.75,"dddd d mmmm yyyy")</t>
  </si>
  <si>
    <t xml:space="preserve">TEXT(45658.5,"dddd d mmmm yyyy")</t>
  </si>
  <si>
    <t xml:space="preserve">TEXT(45292.25,"dddd d mmmm yyyy")</t>
  </si>
  <si>
    <t xml:space="preserve">TEXT(45000.9,"dddd d mmmm yyyy")</t>
  </si>
  <si>
    <t xml:space="preserve">TEXT(45367.75,"ddd mmm")</t>
  </si>
  <si>
    <t xml:space="preserve">TEXT(45658.5,"ddd mmm")</t>
  </si>
  <si>
    <t xml:space="preserve">TEXT(45292.25,"ddd mmm")</t>
  </si>
  <si>
    <t xml:space="preserve">TEXT(45000.9,"ddd mmm")</t>
  </si>
  <si>
    <t xml:space="preserve">TEXT(45367.75,"mmmm")</t>
  </si>
  <si>
    <t xml:space="preserve">TEXT(45658.5,"mmmm")</t>
  </si>
  <si>
    <t xml:space="preserve">TEXT(45292.25,"mmmm")</t>
  </si>
  <si>
    <t xml:space="preserve">TEXT(45000.9,"mmmm")</t>
  </si>
  <si>
    <t xml:space="preserve">TEXT(45367.75,"dddd")</t>
  </si>
  <si>
    <t xml:space="preserve">TEXT(45658.5,"dddd")</t>
  </si>
  <si>
    <t xml:space="preserve">TEXT(45292.25,"dddd")</t>
  </si>
  <si>
    <t xml:space="preserve">TEXT(45000.9,"dddd")</t>
  </si>
  <si>
    <t xml:space="preserve">TEXT(45367.75,"h:mm AM/PM")</t>
  </si>
  <si>
    <t xml:space="preserve">TEXT(45658.5,"h:mm AM/PM")</t>
  </si>
  <si>
    <t xml:space="preserve">TEXT(45292.25,"h:mm AM/PM")</t>
  </si>
  <si>
    <t xml:space="preserve">TEXT(45000.9,"h:mm AM/PM")</t>
  </si>
  <si>
    <t xml:space="preserve">TEXT(45367.75,"dd/mm/yyyy")</t>
  </si>
  <si>
    <t xml:space="preserve">TEXT(45658.5,"dd/mm/yyyy")</t>
  </si>
  <si>
    <t xml:space="preserve">TEXT(45292.25,"dd/mm/yyyy")</t>
  </si>
  <si>
    <t xml:space="preserve">TEXT(45000.9,"dd/mm/yyyy")</t>
  </si>
  <si>
    <t xml:space="preserve">TEXT(45367.75,"d-mmm-yy")</t>
  </si>
  <si>
    <t xml:space="preserve">TEXT(45658.5,"d-mmm-yy")</t>
  </si>
  <si>
    <t xml:space="preserve">TEXT(45292.25,"d-mmm-yy")</t>
  </si>
  <si>
    <t xml:space="preserve">TEXT(45000.9,"d-mmm-yy")</t>
  </si>
  <si>
    <t xml:space="preserve">TEXT(45367.75,"mmmmm")</t>
  </si>
  <si>
    <t xml:space="preserve">TEXT(45658.5,"mmmmm")</t>
  </si>
  <si>
    <t xml:space="preserve">TEXT(45292.25,"mmmmm")</t>
  </si>
  <si>
    <t xml:space="preserve">TEXT(45000.9,"mmmmm")</t>
  </si>
  <si>
    <t xml:space="preserve">TEXT(45367.75,"dd.mm.yyyy")</t>
  </si>
  <si>
    <t xml:space="preserve">TEXT(45658.5,"dd.mm.yyyy")</t>
  </si>
  <si>
    <t xml:space="preserve">TEXT(45292.25,"dd.mm.yyyy")</t>
  </si>
  <si>
    <t xml:space="preserve">TEXT(45000.9,"dd.mm.yyyy")</t>
  </si>
  <si>
    <t xml:space="preserve">TEXT(45367.75,"[$-409]dddd d mmmm")</t>
  </si>
  <si>
    <t xml:space="preserve">TEXT(45658.5,"[$-409]dddd d mmmm")</t>
  </si>
  <si>
    <t xml:space="preserve">TEXT(45292.25,"[$-409]dddd d mmmm")</t>
  </si>
  <si>
    <t xml:space="preserve">TEXT(45000.9,"[$-409]dddd d mmmm")</t>
  </si>
  <si>
    <t xml:space="preserve">TEXT(45367.75,"[$-C0A]dddd d mmmm")</t>
  </si>
  <si>
    <t xml:space="preserve">TEXT(45658.5,"[$-C0A]dddd d mmmm")</t>
  </si>
  <si>
    <t xml:space="preserve">TEXT(45292.25,"[$-C0A]dddd d mmmm")</t>
  </si>
  <si>
    <t xml:space="preserve">TEXT(45000.9,"[$-C0A]dddd d mmmm")</t>
  </si>
  <si>
    <t xml:space="preserve">TEXT(45367.75,"[$-40A]dddd")</t>
  </si>
  <si>
    <t xml:space="preserve">TEXT(45658.5,"[$-40A]dddd")</t>
  </si>
  <si>
    <t xml:space="preserve">TEXT(45292.25,"[$-40A]dddd")</t>
  </si>
  <si>
    <t xml:space="preserve">TEXT(45000.9,"[$-40A]dddd")</t>
  </si>
  <si>
    <t xml:space="preserve">TEXT(45367.75,"[$-809]ddd mmm")</t>
  </si>
  <si>
    <t xml:space="preserve">TEXT(45658.5,"[$-809]ddd mmm")</t>
  </si>
  <si>
    <t xml:space="preserve">TEXT(45292.25,"[$-809]ddd mmm")</t>
  </si>
  <si>
    <t xml:space="preserve">TEXT(45000.9,"[$-809]ddd mmm")</t>
  </si>
  <si>
    <t xml:space="preserve">TEXT(45367.75,"[$-409]h:mm AM/PM")</t>
  </si>
  <si>
    <t xml:space="preserve">TEXT(45658.5,"[$-409]h:mm AM/PM")</t>
  </si>
  <si>
    <t xml:space="preserve">TEXT(45292.25,"[$-409]h:mm AM/PM")</t>
  </si>
  <si>
    <t xml:space="preserve">TEXT(45000.9,"[$-409]h:mm AM/PM")</t>
  </si>
  <si>
    <t xml:space="preserve">DOLLAR(1234567.891,0)</t>
  </si>
  <si>
    <t xml:space="preserve">FIXED(-1234.5678,0)</t>
  </si>
  <si>
    <t xml:space="preserve">(1=1)&amp;""</t>
  </si>
  <si>
    <t xml:space="preserve">(1=0)&amp;""</t>
  </si>
  <si>
    <t xml:space="preserve">1234567.891&amp;""</t>
  </si>
  <si>
    <t xml:space="preserve">1E+20&amp;""</t>
  </si>
  <si>
    <t xml:space="preserve">"ä"&lt;"z"</t>
  </si>
  <si>
    <t xml:space="preserve">"ñ"&lt;"o"</t>
  </si>
  <si>
    <t xml:space="preserve">"ñ"&lt;"n"</t>
  </si>
  <si>
    <t xml:space="preserve">"é"&lt;"f"</t>
  </si>
  <si>
    <t xml:space="preserve">"ß"="ss"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</si>
</sst>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0" t="s">
        <v>1</v>
      </c>
      <c r="F1" s="0" t="s">
        <v>2</v>
      </c>
      <c r="G1" s="0" t="s">
        <v>3</v>
      </c>
      <c r="H1" s="0" t="n">
        <v>1</v>
      </c>
      <c r="I1" s="0" t="n">
        <v>9</v>
      </c>
      <c r="J1" s="0" t="n">
        <v>-100</v>
      </c>
      <c r="K1" s="0" t="n">
        <v>2</v>
      </c>
      <c r="L1" s="0" t="n">
        <v>10</v>
      </c>
    </row>
    <row r="2" customFormat="false" ht="15" hidden="false" customHeight="false" outlineLevel="0" collapsed="false">
      <c r="A2" s="0" t="n">
        <v>3</v>
      </c>
      <c r="B2" s="0" t="s">
        <v>4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  <c r="K2" s="0" t="n">
        <v>4</v>
      </c>
      <c r="L2" s="0" t="n">
        <v>20</v>
      </c>
    </row>
    <row r="3" customFormat="false" ht="15" hidden="false" customHeight="false" outlineLevel="0" collapsed="false">
      <c r="A3" s="0" t="n">
        <v>8</v>
      </c>
      <c r="B3" s="0" t="s">
        <v>5</v>
      </c>
      <c r="C3" s="1" t="n">
        <v>45368</v>
      </c>
      <c r="H3" s="0" t="n">
        <v>5</v>
      </c>
      <c r="I3" s="0" t="n">
        <v>5</v>
      </c>
      <c r="J3" s="0" t="n">
        <v>40</v>
      </c>
      <c r="K3" s="0" t="n">
        <v>5</v>
      </c>
      <c r="L3" s="0" t="n">
        <v>30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  <c r="K4" s="0" t="n">
        <v>4</v>
      </c>
      <c r="L4" s="0" t="n">
        <v>40</v>
      </c>
    </row>
    <row r="5" customFormat="false" ht="15" hidden="false" customHeight="false" outlineLevel="0" collapsed="false">
      <c r="A5" s="0" t="n">
        <v>9</v>
      </c>
      <c r="B5" s="0" t="s">
        <v>6</v>
      </c>
      <c r="C5" s="1" t="n">
        <v>45431</v>
      </c>
      <c r="H5" s="0" t="n">
        <v>9</v>
      </c>
      <c r="I5" s="0" t="n">
        <v>1</v>
      </c>
      <c r="J5" s="0" t="n">
        <v>60</v>
      </c>
      <c r="K5" s="0" t="n">
        <v>5</v>
      </c>
      <c r="L5" s="0" t="n">
        <f aca="false">SUBTOTAL(9,L1:L4)</f>
        <v>100</v>
      </c>
    </row>
    <row r="6" customFormat="false" ht="15" hidden="false" customHeight="false" outlineLevel="0" collapsed="false">
      <c r="A6" s="0" t="n">
        <v>2</v>
      </c>
      <c r="B6" s="0" t="s">
        <v>4</v>
      </c>
      <c r="C6" s="1" t="n">
        <v>45463</v>
      </c>
      <c r="K6" s="0" t="n">
        <v>7</v>
      </c>
      <c r="L6" s="0" t="n">
        <v>5</v>
      </c>
    </row>
    <row r="7" customFormat="false" ht="15" hidden="true" customHeight="false" outlineLevel="0" collapsed="false">
      <c r="A7" s="0" t="n">
        <v>7</v>
      </c>
      <c r="B7" s="0" t="s">
        <v>0</v>
      </c>
      <c r="C7" s="1" t="n">
        <v>45494</v>
      </c>
      <c r="K7" s="0" t="n">
        <v>8</v>
      </c>
    </row>
    <row r="8" customFormat="false" ht="15" hidden="true" customHeight="false" outlineLevel="0" collapsed="false">
      <c r="A8" s="0" t="n">
        <v>4</v>
      </c>
      <c r="B8" s="0" t="s">
        <v>7</v>
      </c>
      <c r="C8" s="1" t="n">
        <v>45526</v>
      </c>
      <c r="K8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tr">
        <f aca="false">TEXT(1234.5678,"0")</f>
        <v>1235</v>
      </c>
      <c r="B1" s="0" t="s">
        <v>8</v>
      </c>
    </row>
    <row r="2" customFormat="false" ht="15" hidden="false" customHeight="false" outlineLevel="0" collapsed="false">
      <c r="A2" s="0" t="str">
        <f aca="false">TEXT(-1234.5678,"0")</f>
        <v>-1235</v>
      </c>
      <c r="B2" s="0" t="s">
        <v>9</v>
      </c>
    </row>
    <row r="3" customFormat="false" ht="15" hidden="false" customHeight="false" outlineLevel="0" collapsed="false">
      <c r="A3" s="0" t="str">
        <f aca="false">TEXT(0,"0")</f>
        <v>0</v>
      </c>
      <c r="B3" s="0" t="s">
        <v>10</v>
      </c>
    </row>
    <row r="4" customFormat="false" ht="15" hidden="false" customHeight="false" outlineLevel="0" collapsed="false">
      <c r="A4" s="0" t="str">
        <f aca="false">TEXT(0.5,"0")</f>
        <v>1</v>
      </c>
      <c r="B4" s="0" t="s">
        <v>11</v>
      </c>
    </row>
    <row r="5" customFormat="false" ht="15" hidden="false" customHeight="false" outlineLevel="0" collapsed="false">
      <c r="A5" s="0" t="str">
        <f aca="false">TEXT(1000000,"0")</f>
        <v>1000000</v>
      </c>
      <c r="B5" s="0" t="s">
        <v>12</v>
      </c>
    </row>
    <row r="6" customFormat="false" ht="15" hidden="false" customHeight="false" outlineLevel="0" collapsed="false">
      <c r="A6" s="0" t="str">
        <f aca="false">TEXT(12345678.9,"0")</f>
        <v>12345679</v>
      </c>
      <c r="B6" s="0" t="s">
        <v>13</v>
      </c>
    </row>
    <row r="7" customFormat="false" ht="15" hidden="false" customHeight="false" outlineLevel="0" collapsed="false">
      <c r="A7" s="0" t="str">
        <f aca="false">TEXT(0.000123,"0")</f>
        <v>0</v>
      </c>
      <c r="B7" s="0" t="s">
        <v>14</v>
      </c>
    </row>
    <row r="8" customFormat="false" ht="15" hidden="false" customHeight="false" outlineLevel="0" collapsed="false">
      <c r="A8" s="0" t="str">
        <f aca="false">TEXT(1234.5678,"0.00")</f>
        <v>1234,57</v>
      </c>
      <c r="B8" s="0" t="s">
        <v>15</v>
      </c>
    </row>
    <row r="9" customFormat="false" ht="15" hidden="false" customHeight="false" outlineLevel="0" collapsed="false">
      <c r="A9" s="0" t="str">
        <f aca="false">TEXT(-1234.5678,"0.00")</f>
        <v>-1234,57</v>
      </c>
      <c r="B9" s="0" t="s">
        <v>16</v>
      </c>
    </row>
    <row r="10" customFormat="false" ht="15" hidden="false" customHeight="false" outlineLevel="0" collapsed="false">
      <c r="A10" s="0" t="str">
        <f aca="false">TEXT(0,"0.00")</f>
        <v>0,00</v>
      </c>
      <c r="B10" s="0" t="s">
        <v>17</v>
      </c>
    </row>
    <row r="11" customFormat="false" ht="15" hidden="false" customHeight="false" outlineLevel="0" collapsed="false">
      <c r="A11" s="0" t="str">
        <f aca="false">TEXT(0.5,"0.00")</f>
        <v>0,50</v>
      </c>
      <c r="B11" s="0" t="s">
        <v>18</v>
      </c>
    </row>
    <row r="12" customFormat="false" ht="15" hidden="false" customHeight="false" outlineLevel="0" collapsed="false">
      <c r="A12" s="0" t="str">
        <f aca="false">TEXT(1000000,"0.00")</f>
        <v>1000000,00</v>
      </c>
      <c r="B12" s="0" t="s">
        <v>19</v>
      </c>
    </row>
    <row r="13" customFormat="false" ht="15" hidden="false" customHeight="false" outlineLevel="0" collapsed="false">
      <c r="A13" s="0" t="str">
        <f aca="false">TEXT(12345678.9,"0.00")</f>
        <v>12345678,90</v>
      </c>
      <c r="B13" s="0" t="s">
        <v>20</v>
      </c>
    </row>
    <row r="14" customFormat="false" ht="15" hidden="false" customHeight="false" outlineLevel="0" collapsed="false">
      <c r="A14" s="0" t="str">
        <f aca="false">TEXT(0.000123,"0.00")</f>
        <v>0,00</v>
      </c>
      <c r="B14" s="0" t="s">
        <v>21</v>
      </c>
    </row>
    <row r="15" customFormat="false" ht="15" hidden="false" customHeight="false" outlineLevel="0" collapsed="false">
      <c r="A15" s="0" t="str">
        <f aca="false">TEXT(1234.5678,"#,##0")</f>
        <v>1.235</v>
      </c>
      <c r="B15" s="0" t="s">
        <v>22</v>
      </c>
    </row>
    <row r="16" customFormat="false" ht="15" hidden="false" customHeight="false" outlineLevel="0" collapsed="false">
      <c r="A16" s="0" t="str">
        <f aca="false">TEXT(-1234.5678,"#,##0")</f>
        <v>-1.235</v>
      </c>
      <c r="B16" s="0" t="s">
        <v>23</v>
      </c>
    </row>
    <row r="17" customFormat="false" ht="15" hidden="false" customHeight="false" outlineLevel="0" collapsed="false">
      <c r="A17" s="0" t="str">
        <f aca="false">TEXT(0,"#,##0")</f>
        <v>0</v>
      </c>
      <c r="B17" s="0" t="s">
        <v>24</v>
      </c>
    </row>
    <row r="18" customFormat="false" ht="15" hidden="false" customHeight="false" outlineLevel="0" collapsed="false">
      <c r="A18" s="0" t="str">
        <f aca="false">TEXT(0.5,"#,##0")</f>
        <v>1</v>
      </c>
      <c r="B18" s="0" t="s">
        <v>25</v>
      </c>
    </row>
    <row r="19" customFormat="false" ht="15" hidden="false" customHeight="false" outlineLevel="0" collapsed="false">
      <c r="A19" s="0" t="str">
        <f aca="false">TEXT(1000000,"#,##0")</f>
        <v>1.000.000</v>
      </c>
      <c r="B19" s="0" t="s">
        <v>26</v>
      </c>
    </row>
    <row r="20" customFormat="false" ht="15" hidden="false" customHeight="false" outlineLevel="0" collapsed="false">
      <c r="A20" s="0" t="str">
        <f aca="false">TEXT(12345678.9,"#,##0")</f>
        <v>12.345.679</v>
      </c>
      <c r="B20" s="0" t="s">
        <v>27</v>
      </c>
    </row>
    <row r="21" customFormat="false" ht="15" hidden="false" customHeight="false" outlineLevel="0" collapsed="false">
      <c r="A21" s="0" t="str">
        <f aca="false">TEXT(0.000123,"#,##0")</f>
        <v>0</v>
      </c>
      <c r="B21" s="0" t="s">
        <v>28</v>
      </c>
    </row>
    <row r="22" customFormat="false" ht="15" hidden="false" customHeight="false" outlineLevel="0" collapsed="false">
      <c r="A22" s="0" t="str">
        <f aca="false">TEXT(1234.5678,"#,##0.00")</f>
        <v>1.234,57</v>
      </c>
      <c r="B22" s="0" t="s">
        <v>29</v>
      </c>
    </row>
    <row r="23" customFormat="false" ht="15" hidden="false" customHeight="false" outlineLevel="0" collapsed="false">
      <c r="A23" s="0" t="str">
        <f aca="false">TEXT(-1234.5678,"#,##0.00")</f>
        <v>-1.234,57</v>
      </c>
      <c r="B23" s="0" t="s">
        <v>30</v>
      </c>
    </row>
    <row r="24" customFormat="false" ht="15" hidden="false" customHeight="false" outlineLevel="0" collapsed="false">
      <c r="A24" s="0" t="str">
        <f aca="false">TEXT(0,"#,##0.00")</f>
        <v>0,00</v>
      </c>
      <c r="B24" s="0" t="s">
        <v>31</v>
      </c>
    </row>
    <row r="25" customFormat="false" ht="15" hidden="false" customHeight="false" outlineLevel="0" collapsed="false">
      <c r="A25" s="0" t="str">
        <f aca="false">TEXT(0.5,"#,##0.00")</f>
        <v>0,50</v>
      </c>
      <c r="B25" s="0" t="s">
        <v>32</v>
      </c>
    </row>
    <row r="26" customFormat="false" ht="15" hidden="false" customHeight="false" outlineLevel="0" collapsed="false">
      <c r="A26" s="0" t="str">
        <f aca="false">TEXT(1000000,"#,##0.00")</f>
        <v>1.000.000,00</v>
      </c>
      <c r="B26" s="0" t="s">
        <v>33</v>
      </c>
    </row>
    <row r="27" customFormat="false" ht="15" hidden="false" customHeight="false" outlineLevel="0" collapsed="false">
      <c r="A27" s="0" t="str">
        <f aca="false">TEXT(12345678.9,"#,##0.00")</f>
        <v>12.345.678,90</v>
      </c>
      <c r="B27" s="0" t="s">
        <v>34</v>
      </c>
    </row>
    <row r="28" customFormat="false" ht="15" hidden="false" customHeight="false" outlineLevel="0" collapsed="false">
      <c r="A28" s="0" t="str">
        <f aca="false">TEXT(0.000123,"#,##0.00")</f>
        <v>0,00</v>
      </c>
      <c r="B28" s="0" t="s">
        <v>35</v>
      </c>
    </row>
    <row r="29" customFormat="false" ht="15" hidden="false" customHeight="false" outlineLevel="0" collapsed="false">
      <c r="A29" s="0" t="str">
        <f aca="false">TEXT(1234.5678,"#.##")</f>
        <v>1.235</v>
      </c>
      <c r="B29" s="0" t="s">
        <v>36</v>
      </c>
    </row>
    <row r="30" customFormat="false" ht="15" hidden="false" customHeight="false" outlineLevel="0" collapsed="false">
      <c r="A30" s="0" t="str">
        <f aca="false">TEXT(-1234.5678,"#.##")</f>
        <v>-1.235</v>
      </c>
      <c r="B30" s="0" t="s">
        <v>37</v>
      </c>
    </row>
    <row r="31" customFormat="false" ht="15" hidden="false" customHeight="false" outlineLevel="0" collapsed="false">
      <c r="A31" s="0" t="str">
        <f aca="false">TEXT(0,"#.##")</f>
        <v/>
      </c>
      <c r="B31" s="0" t="s">
        <v>38</v>
      </c>
    </row>
    <row r="32" customFormat="false" ht="15" hidden="false" customHeight="false" outlineLevel="0" collapsed="false">
      <c r="A32" s="0" t="str">
        <f aca="false">TEXT(0.5,"#.##")</f>
        <v>1</v>
      </c>
      <c r="B32" s="0" t="s">
        <v>39</v>
      </c>
    </row>
    <row r="33" customFormat="false" ht="15" hidden="false" customHeight="false" outlineLevel="0" collapsed="false">
      <c r="A33" s="0" t="str">
        <f aca="false">TEXT(1000000,"#.##")</f>
        <v>1.000.000</v>
      </c>
      <c r="B33" s="0" t="s">
        <v>40</v>
      </c>
    </row>
    <row r="34" customFormat="false" ht="15" hidden="false" customHeight="false" outlineLevel="0" collapsed="false">
      <c r="A34" s="0" t="str">
        <f aca="false">TEXT(12345678.9,"#.##")</f>
        <v>12.345.679</v>
      </c>
      <c r="B34" s="0" t="s">
        <v>41</v>
      </c>
    </row>
    <row r="35" customFormat="false" ht="15" hidden="false" customHeight="false" outlineLevel="0" collapsed="false">
      <c r="A35" s="0" t="str">
        <f aca="false">TEXT(0.000123,"#.##")</f>
        <v/>
      </c>
      <c r="B35" s="0" t="s">
        <v>42</v>
      </c>
    </row>
    <row r="36" customFormat="false" ht="15" hidden="false" customHeight="false" outlineLevel="0" collapsed="false">
      <c r="A36" s="0" t="str">
        <f aca="false">TEXT(1234.5678,"0.0%")</f>
        <v>123.457%</v>
      </c>
      <c r="B36" s="0" t="s">
        <v>43</v>
      </c>
    </row>
    <row r="37" customFormat="false" ht="15" hidden="false" customHeight="false" outlineLevel="0" collapsed="false">
      <c r="A37" s="0" t="str">
        <f aca="false">TEXT(-1234.5678,"0.0%")</f>
        <v>-123.457%</v>
      </c>
      <c r="B37" s="0" t="s">
        <v>44</v>
      </c>
    </row>
    <row r="38" customFormat="false" ht="15" hidden="false" customHeight="false" outlineLevel="0" collapsed="false">
      <c r="A38" s="0" t="str">
        <f aca="false">TEXT(0,"0.0%")</f>
        <v>00%</v>
      </c>
      <c r="B38" s="0" t="s">
        <v>45</v>
      </c>
    </row>
    <row r="39" customFormat="false" ht="15" hidden="false" customHeight="false" outlineLevel="0" collapsed="false">
      <c r="A39" s="0" t="str">
        <f aca="false">TEXT(0.5,"0.0%")</f>
        <v>50%</v>
      </c>
      <c r="B39" s="0" t="s">
        <v>46</v>
      </c>
    </row>
    <row r="40" customFormat="false" ht="15" hidden="false" customHeight="false" outlineLevel="0" collapsed="false">
      <c r="A40" s="0" t="str">
        <f aca="false">TEXT(1000000,"0.0%")</f>
        <v>100.000.000%</v>
      </c>
      <c r="B40" s="0" t="s">
        <v>47</v>
      </c>
    </row>
    <row r="41" customFormat="false" ht="15" hidden="false" customHeight="false" outlineLevel="0" collapsed="false">
      <c r="A41" s="0" t="str">
        <f aca="false">TEXT(12345678.9,"0.0%")</f>
        <v>1.234.567.890%</v>
      </c>
      <c r="B41" s="0" t="s">
        <v>48</v>
      </c>
    </row>
    <row r="42" customFormat="false" ht="15" hidden="false" customHeight="false" outlineLevel="0" collapsed="false">
      <c r="A42" s="0" t="str">
        <f aca="false">TEXT(0.000123,"0.0%")</f>
        <v>00%</v>
      </c>
      <c r="B42" s="0" t="s">
        <v>49</v>
      </c>
    </row>
    <row r="43" customFormat="false" ht="15" hidden="false" customHeight="false" outlineLevel="0" collapsed="false">
      <c r="A43" s="0" t="str">
        <f aca="false">TEXT(1234.5678,"0.00E+00")</f>
        <v>1,23E+03</v>
      </c>
      <c r="B43" s="0" t="s">
        <v>50</v>
      </c>
    </row>
    <row r="44" customFormat="false" ht="15" hidden="false" customHeight="false" outlineLevel="0" collapsed="false">
      <c r="A44" s="0" t="str">
        <f aca="false">TEXT(-1234.5678,"0.00E+00")</f>
        <v>-1,23E+03</v>
      </c>
      <c r="B44" s="0" t="s">
        <v>51</v>
      </c>
    </row>
    <row r="45" customFormat="false" ht="15" hidden="false" customHeight="false" outlineLevel="0" collapsed="false">
      <c r="A45" s="0" t="str">
        <f aca="false">TEXT(0,"0.00E+00")</f>
        <v>0,00E+00</v>
      </c>
      <c r="B45" s="0" t="s">
        <v>52</v>
      </c>
    </row>
    <row r="46" customFormat="false" ht="15" hidden="false" customHeight="false" outlineLevel="0" collapsed="false">
      <c r="A46" s="0" t="str">
        <f aca="false">TEXT(0.5,"0.00E+00")</f>
        <v>5,00E-01</v>
      </c>
      <c r="B46" s="0" t="s">
        <v>53</v>
      </c>
    </row>
    <row r="47" customFormat="false" ht="15" hidden="false" customHeight="false" outlineLevel="0" collapsed="false">
      <c r="A47" s="0" t="str">
        <f aca="false">TEXT(1000000,"0.00E+00")</f>
        <v>1,00E+06</v>
      </c>
      <c r="B47" s="0" t="s">
        <v>54</v>
      </c>
    </row>
    <row r="48" customFormat="false" ht="15" hidden="false" customHeight="false" outlineLevel="0" collapsed="false">
      <c r="A48" s="0" t="str">
        <f aca="false">TEXT(12345678.9,"0.00E+00")</f>
        <v>1,23E+07</v>
      </c>
      <c r="B48" s="0" t="s">
        <v>55</v>
      </c>
    </row>
    <row r="49" customFormat="false" ht="15" hidden="false" customHeight="false" outlineLevel="0" collapsed="false">
      <c r="A49" s="0" t="str">
        <f aca="false">TEXT(0.000123,"0.00E+00")</f>
        <v>1,23E-04</v>
      </c>
      <c r="B49" s="0" t="s">
        <v>56</v>
      </c>
    </row>
    <row r="50" customFormat="false" ht="15" hidden="false" customHeight="false" outlineLevel="0" collapsed="false">
      <c r="A50" s="0" t="str">
        <f aca="false">TEXT(1234.5678,"# ?/?")</f>
        <v>1234 4/7</v>
      </c>
      <c r="B50" s="0" t="s">
        <v>57</v>
      </c>
    </row>
    <row r="51" customFormat="false" ht="15" hidden="false" customHeight="false" outlineLevel="0" collapsed="false">
      <c r="A51" s="0" t="str">
        <f aca="false">TEXT(-1234.5678,"# ?/?")</f>
        <v>-1234 4/7</v>
      </c>
      <c r="B51" s="0" t="s">
        <v>58</v>
      </c>
    </row>
    <row r="52" customFormat="false" ht="15" hidden="false" customHeight="false" outlineLevel="0" collapsed="false">
      <c r="A52" s="0" t="str">
        <f aca="false">TEXT(0,"# ?/?")</f>
        <v>0    </v>
      </c>
      <c r="B52" s="0" t="s">
        <v>59</v>
      </c>
    </row>
    <row r="53" customFormat="false" ht="15" hidden="false" customHeight="false" outlineLevel="0" collapsed="false">
      <c r="A53" s="0" t="str">
        <f aca="false">TEXT(0.5,"# ?/?")</f>
        <v> 1/2</v>
      </c>
      <c r="B53" s="0" t="s">
        <v>60</v>
      </c>
    </row>
    <row r="54" customFormat="false" ht="15" hidden="false" customHeight="false" outlineLevel="0" collapsed="false">
      <c r="A54" s="0" t="str">
        <f aca="false">TEXT(1000000,"# ?/?")</f>
        <v>1000000    </v>
      </c>
      <c r="B54" s="0" t="s">
        <v>61</v>
      </c>
    </row>
    <row r="55" customFormat="false" ht="15" hidden="false" customHeight="false" outlineLevel="0" collapsed="false">
      <c r="A55" s="0" t="str">
        <f aca="false">TEXT(12345678.9,"# ?/?")</f>
        <v>12345678 8/9</v>
      </c>
      <c r="B55" s="0" t="s">
        <v>62</v>
      </c>
    </row>
    <row r="56" customFormat="false" ht="15" hidden="false" customHeight="false" outlineLevel="0" collapsed="false">
      <c r="A56" s="0" t="str">
        <f aca="false">TEXT(0.000123,"# ?/?")</f>
        <v>0    </v>
      </c>
      <c r="B56" s="0" t="s">
        <v>63</v>
      </c>
    </row>
    <row r="57" customFormat="false" ht="15" hidden="false" customHeight="false" outlineLevel="0" collapsed="false">
      <c r="A57" s="0" t="str">
        <f aca="false">TEXT(1234.5678,"# ??/??")</f>
        <v>1234 46/81</v>
      </c>
      <c r="B57" s="0" t="s">
        <v>64</v>
      </c>
    </row>
    <row r="58" customFormat="false" ht="15" hidden="false" customHeight="false" outlineLevel="0" collapsed="false">
      <c r="A58" s="0" t="str">
        <f aca="false">TEXT(-1234.5678,"# ??/??")</f>
        <v>-1234 46/81</v>
      </c>
      <c r="B58" s="0" t="s">
        <v>65</v>
      </c>
    </row>
    <row r="59" customFormat="false" ht="15" hidden="false" customHeight="false" outlineLevel="0" collapsed="false">
      <c r="A59" s="0" t="str">
        <f aca="false">TEXT(0,"# ??/??")</f>
        <v>0      </v>
      </c>
      <c r="B59" s="0" t="s">
        <v>66</v>
      </c>
    </row>
    <row r="60" customFormat="false" ht="15" hidden="false" customHeight="false" outlineLevel="0" collapsed="false">
      <c r="A60" s="0" t="str">
        <f aca="false">TEXT(0.5,"# ??/??")</f>
        <v>  1/2 </v>
      </c>
      <c r="B60" s="0" t="s">
        <v>67</v>
      </c>
    </row>
    <row r="61" customFormat="false" ht="15" hidden="false" customHeight="false" outlineLevel="0" collapsed="false">
      <c r="A61" s="0" t="str">
        <f aca="false">TEXT(1000000,"# ??/??")</f>
        <v>1000000      </v>
      </c>
      <c r="B61" s="0" t="s">
        <v>68</v>
      </c>
    </row>
    <row r="62" customFormat="false" ht="15" hidden="false" customHeight="false" outlineLevel="0" collapsed="false">
      <c r="A62" s="0" t="str">
        <f aca="false">TEXT(12345678.9,"# ??/??")</f>
        <v>12345678  9/10</v>
      </c>
      <c r="B62" s="0" t="s">
        <v>69</v>
      </c>
    </row>
    <row r="63" customFormat="false" ht="15" hidden="false" customHeight="false" outlineLevel="0" collapsed="false">
      <c r="A63" s="0" t="str">
        <f aca="false">TEXT(0.000123,"# ??/??")</f>
        <v>0      </v>
      </c>
      <c r="B63" s="0" t="s">
        <v>70</v>
      </c>
    </row>
    <row r="64" customFormat="false" ht="15" hidden="false" customHeight="false" outlineLevel="0" collapsed="false">
      <c r="A64" s="0" t="str">
        <f aca="false">TEXT(1234.5678,"General")</f>
        <v>1234,5678</v>
      </c>
      <c r="B64" s="0" t="s">
        <v>71</v>
      </c>
    </row>
    <row r="65" customFormat="false" ht="15" hidden="false" customHeight="false" outlineLevel="0" collapsed="false">
      <c r="A65" s="0" t="str">
        <f aca="false">TEXT(-1234.5678,"General")</f>
        <v>-1234,5678</v>
      </c>
      <c r="B65" s="0" t="s">
        <v>72</v>
      </c>
    </row>
    <row r="66" customFormat="false" ht="15" hidden="false" customHeight="false" outlineLevel="0" collapsed="false">
      <c r="A66" s="0" t="str">
        <f aca="false">TEXT(0,"General")</f>
        <v>0</v>
      </c>
      <c r="B66" s="0" t="s">
        <v>73</v>
      </c>
    </row>
    <row r="67" customFormat="false" ht="15" hidden="false" customHeight="false" outlineLevel="0" collapsed="false">
      <c r="A67" s="0" t="str">
        <f aca="false">TEXT(0.5,"General")</f>
        <v>0,5</v>
      </c>
      <c r="B67" s="0" t="s">
        <v>74</v>
      </c>
    </row>
    <row r="68" customFormat="false" ht="15" hidden="false" customHeight="false" outlineLevel="0" collapsed="false">
      <c r="A68" s="0" t="str">
        <f aca="false">TEXT(1000000,"General")</f>
        <v>1000000</v>
      </c>
      <c r="B68" s="0" t="s">
        <v>75</v>
      </c>
    </row>
    <row r="69" customFormat="false" ht="15" hidden="false" customHeight="false" outlineLevel="0" collapsed="false">
      <c r="A69" s="0" t="str">
        <f aca="false">TEXT(12345678.9,"General")</f>
        <v>12345678,9</v>
      </c>
      <c r="B69" s="0" t="s">
        <v>76</v>
      </c>
    </row>
    <row r="70" customFormat="false" ht="15" hidden="false" customHeight="false" outlineLevel="0" collapsed="false">
      <c r="A70" s="0" t="str">
        <f aca="false">TEXT(0.000123,"General")</f>
        <v>0,000123</v>
      </c>
      <c r="B70" s="0" t="s">
        <v>77</v>
      </c>
    </row>
    <row r="71" customFormat="false" ht="15" hidden="false" customHeight="false" outlineLevel="0" collapsed="false">
      <c r="A71" s="0" t="str">
        <f aca="false">TEXT(1234.5678,"[$$-409]#,##0.00")</f>
        <v>$1.234,56780</v>
      </c>
      <c r="B71" s="0" t="s">
        <v>78</v>
      </c>
    </row>
    <row r="72" customFormat="false" ht="15" hidden="false" customHeight="false" outlineLevel="0" collapsed="false">
      <c r="A72" s="0" t="str">
        <f aca="false">TEXT(-1234.5678,"[$$-409]#,##0.00")</f>
        <v>-$1.234,56780</v>
      </c>
      <c r="B72" s="0" t="s">
        <v>79</v>
      </c>
    </row>
    <row r="73" customFormat="false" ht="15" hidden="false" customHeight="false" outlineLevel="0" collapsed="false">
      <c r="A73" s="0" t="str">
        <f aca="false">TEXT(0,"[$$-409]#,##0.00")</f>
        <v>$,00000</v>
      </c>
      <c r="B73" s="0" t="s">
        <v>80</v>
      </c>
    </row>
    <row r="74" customFormat="false" ht="15" hidden="false" customHeight="false" outlineLevel="0" collapsed="false">
      <c r="A74" s="0" t="str">
        <f aca="false">TEXT(0.5,"[$$-409]#,##0.00")</f>
        <v>$,50000</v>
      </c>
      <c r="B74" s="0" t="s">
        <v>81</v>
      </c>
    </row>
    <row r="75" customFormat="false" ht="15" hidden="false" customHeight="false" outlineLevel="0" collapsed="false">
      <c r="A75" s="0" t="str">
        <f aca="false">TEXT(1000000,"[$$-409]#,##0.00")</f>
        <v>$1.000.000,00000</v>
      </c>
      <c r="B75" s="0" t="s">
        <v>82</v>
      </c>
    </row>
    <row r="76" customFormat="false" ht="15" hidden="false" customHeight="false" outlineLevel="0" collapsed="false">
      <c r="A76" s="0" t="str">
        <f aca="false">TEXT(12345678.9,"[$$-409]#,##0.00")</f>
        <v>$12.345.678,90000</v>
      </c>
      <c r="B76" s="0" t="s">
        <v>83</v>
      </c>
    </row>
    <row r="77" customFormat="false" ht="15" hidden="false" customHeight="false" outlineLevel="0" collapsed="false">
      <c r="A77" s="0" t="str">
        <f aca="false">TEXT(0.000123,"[$$-409]#,##0.00")</f>
        <v>$,00012</v>
      </c>
      <c r="B77" s="0" t="s">
        <v>84</v>
      </c>
    </row>
    <row r="78" customFormat="false" ht="15" hidden="false" customHeight="false" outlineLevel="0" collapsed="false">
      <c r="A78" s="0" t="str">
        <f aca="false">TEXT(1234.5678,"[$€-407]#,##0.00")</f>
        <v>€1.234,56780</v>
      </c>
      <c r="B78" s="0" t="s">
        <v>85</v>
      </c>
    </row>
    <row r="79" customFormat="false" ht="15" hidden="false" customHeight="false" outlineLevel="0" collapsed="false">
      <c r="A79" s="0" t="str">
        <f aca="false">TEXT(-1234.5678,"[$€-407]#,##0.00")</f>
        <v>-€1.234,56780</v>
      </c>
      <c r="B79" s="0" t="s">
        <v>86</v>
      </c>
    </row>
    <row r="80" customFormat="false" ht="15" hidden="false" customHeight="false" outlineLevel="0" collapsed="false">
      <c r="A80" s="0" t="str">
        <f aca="false">TEXT(0,"[$€-407]#,##0.00")</f>
        <v>€,00000</v>
      </c>
      <c r="B80" s="0" t="s">
        <v>87</v>
      </c>
    </row>
    <row r="81" customFormat="false" ht="15" hidden="false" customHeight="false" outlineLevel="0" collapsed="false">
      <c r="A81" s="0" t="str">
        <f aca="false">TEXT(0.5,"[$€-407]#,##0.00")</f>
        <v>€,50000</v>
      </c>
      <c r="B81" s="0" t="s">
        <v>88</v>
      </c>
    </row>
    <row r="82" customFormat="false" ht="15" hidden="false" customHeight="false" outlineLevel="0" collapsed="false">
      <c r="A82" s="0" t="str">
        <f aca="false">TEXT(1000000,"[$€-407]#,##0.00")</f>
        <v>€1.000.000,00000</v>
      </c>
      <c r="B82" s="0" t="s">
        <v>89</v>
      </c>
    </row>
    <row r="83" customFormat="false" ht="15" hidden="false" customHeight="false" outlineLevel="0" collapsed="false">
      <c r="A83" s="0" t="str">
        <f aca="false">TEXT(12345678.9,"[$€-407]#,##0.00")</f>
        <v>€12.345.678,90000</v>
      </c>
      <c r="B83" s="0" t="s">
        <v>90</v>
      </c>
    </row>
    <row r="84" customFormat="false" ht="15" hidden="false" customHeight="false" outlineLevel="0" collapsed="false">
      <c r="A84" s="0" t="str">
        <f aca="false">TEXT(0.000123,"[$€-407]#,##0.00")</f>
        <v>€,00012</v>
      </c>
      <c r="B84" s="0" t="s">
        <v>91</v>
      </c>
    </row>
    <row r="85" customFormat="false" ht="15" hidden="false" customHeight="false" outlineLevel="0" collapsed="false">
      <c r="A85" s="0" t="str">
        <f aca="false">TEXT(1234.5678,"[$$-en-US]#,##0")</f>
        <v>$1234,568</v>
      </c>
      <c r="B85" s="0" t="s">
        <v>92</v>
      </c>
    </row>
    <row r="86" customFormat="false" ht="15" hidden="false" customHeight="false" outlineLevel="0" collapsed="false">
      <c r="A86" s="0" t="str">
        <f aca="false">TEXT(-1234.5678,"[$$-en-US]#,##0")</f>
        <v>-$1234,568</v>
      </c>
      <c r="B86" s="0" t="s">
        <v>93</v>
      </c>
    </row>
    <row r="87" customFormat="false" ht="15" hidden="false" customHeight="false" outlineLevel="0" collapsed="false">
      <c r="A87" s="0" t="str">
        <f aca="false">TEXT(0,"[$$-en-US]#,##0")</f>
        <v>$,000</v>
      </c>
      <c r="B87" s="0" t="s">
        <v>94</v>
      </c>
    </row>
    <row r="88" customFormat="false" ht="15" hidden="false" customHeight="false" outlineLevel="0" collapsed="false">
      <c r="A88" s="0" t="str">
        <f aca="false">TEXT(0.5,"[$$-en-US]#,##0")</f>
        <v>$,500</v>
      </c>
      <c r="B88" s="0" t="s">
        <v>95</v>
      </c>
    </row>
    <row r="89" customFormat="false" ht="15" hidden="false" customHeight="false" outlineLevel="0" collapsed="false">
      <c r="A89" s="0" t="str">
        <f aca="false">TEXT(1000000,"[$$-en-US]#,##0")</f>
        <v>$1000000,000</v>
      </c>
      <c r="B89" s="0" t="s">
        <v>96</v>
      </c>
    </row>
    <row r="90" customFormat="false" ht="15" hidden="false" customHeight="false" outlineLevel="0" collapsed="false">
      <c r="A90" s="0" t="str">
        <f aca="false">TEXT(12345678.9,"[$$-en-US]#,##0")</f>
        <v>$12345678,900</v>
      </c>
      <c r="B90" s="0" t="s">
        <v>97</v>
      </c>
    </row>
    <row r="91" customFormat="false" ht="15" hidden="false" customHeight="false" outlineLevel="0" collapsed="false">
      <c r="A91" s="0" t="str">
        <f aca="false">TEXT(0.000123,"[$$-en-US]#,##0")</f>
        <v>$,000</v>
      </c>
      <c r="B91" s="0" t="s">
        <v>98</v>
      </c>
    </row>
    <row r="92" customFormat="false" ht="15" hidden="false" customHeight="false" outlineLevel="0" collapsed="false">
      <c r="A92" s="0" t="str">
        <f aca="false">TEXT(1234.5678,"$#,##0")</f>
        <v>$1234,568</v>
      </c>
      <c r="B92" s="0" t="s">
        <v>99</v>
      </c>
    </row>
    <row r="93" customFormat="false" ht="15" hidden="false" customHeight="false" outlineLevel="0" collapsed="false">
      <c r="A93" s="0" t="str">
        <f aca="false">TEXT(-1234.5678,"$#,##0")</f>
        <v>-$1234,568</v>
      </c>
      <c r="B93" s="0" t="s">
        <v>100</v>
      </c>
    </row>
    <row r="94" customFormat="false" ht="15" hidden="false" customHeight="false" outlineLevel="0" collapsed="false">
      <c r="A94" s="0" t="str">
        <f aca="false">TEXT(0,"$#,##0")</f>
        <v>$,000</v>
      </c>
      <c r="B94" s="0" t="s">
        <v>101</v>
      </c>
    </row>
    <row r="95" customFormat="false" ht="15" hidden="false" customHeight="false" outlineLevel="0" collapsed="false">
      <c r="A95" s="0" t="str">
        <f aca="false">TEXT(0.5,"$#,##0")</f>
        <v>$,500</v>
      </c>
      <c r="B95" s="0" t="s">
        <v>102</v>
      </c>
    </row>
    <row r="96" customFormat="false" ht="15" hidden="false" customHeight="false" outlineLevel="0" collapsed="false">
      <c r="A96" s="0" t="str">
        <f aca="false">TEXT(1000000,"$#,##0")</f>
        <v>$1000000,000</v>
      </c>
      <c r="B96" s="0" t="s">
        <v>103</v>
      </c>
    </row>
    <row r="97" customFormat="false" ht="15" hidden="false" customHeight="false" outlineLevel="0" collapsed="false">
      <c r="A97" s="0" t="str">
        <f aca="false">TEXT(12345678.9,"$#,##0")</f>
        <v>$12345678,900</v>
      </c>
      <c r="B97" s="0" t="s">
        <v>104</v>
      </c>
    </row>
    <row r="98" customFormat="false" ht="15" hidden="false" customHeight="false" outlineLevel="0" collapsed="false">
      <c r="A98" s="0" t="str">
        <f aca="false">TEXT(0.000123,"$#,##0")</f>
        <v>$,000</v>
      </c>
      <c r="B98" s="0" t="s">
        <v>105</v>
      </c>
    </row>
    <row r="99" customFormat="false" ht="15" hidden="false" customHeight="false" outlineLevel="0" collapsed="false">
      <c r="A99" s="0" t="str">
        <f aca="false">TEXT(1234.5678,"#,##0;(#,##0)")</f>
        <v>1234,568</v>
      </c>
      <c r="B99" s="0" t="s">
        <v>106</v>
      </c>
    </row>
    <row r="100" customFormat="false" ht="15" hidden="false" customHeight="false" outlineLevel="0" collapsed="false">
      <c r="A100" s="0" t="str">
        <f aca="false">TEXT(-1234.5678,"#,##0;(#,##0)")</f>
        <v>(1234,568)</v>
      </c>
      <c r="B100" s="0" t="s">
        <v>107</v>
      </c>
    </row>
    <row r="101" customFormat="false" ht="15" hidden="false" customHeight="false" outlineLevel="0" collapsed="false">
      <c r="A101" s="0" t="str">
        <f aca="false">TEXT(0,"#,##0;(#,##0)")</f>
        <v>,000</v>
      </c>
      <c r="B101" s="0" t="s">
        <v>108</v>
      </c>
    </row>
    <row r="102" customFormat="false" ht="15" hidden="false" customHeight="false" outlineLevel="0" collapsed="false">
      <c r="A102" s="0" t="str">
        <f aca="false">TEXT(0.5,"#,##0;(#,##0)")</f>
        <v>,500</v>
      </c>
      <c r="B102" s="0" t="s">
        <v>109</v>
      </c>
    </row>
    <row r="103" customFormat="false" ht="15" hidden="false" customHeight="false" outlineLevel="0" collapsed="false">
      <c r="A103" s="0" t="str">
        <f aca="false">TEXT(1000000,"#,##0;(#,##0)")</f>
        <v>1000000,000</v>
      </c>
      <c r="B103" s="0" t="s">
        <v>110</v>
      </c>
    </row>
    <row r="104" customFormat="false" ht="15" hidden="false" customHeight="false" outlineLevel="0" collapsed="false">
      <c r="A104" s="0" t="str">
        <f aca="false">TEXT(12345678.9,"#,##0;(#,##0)")</f>
        <v>12345678,900</v>
      </c>
      <c r="B104" s="0" t="s">
        <v>111</v>
      </c>
    </row>
    <row r="105" customFormat="false" ht="15" hidden="false" customHeight="false" outlineLevel="0" collapsed="false">
      <c r="A105" s="0" t="str">
        <f aca="false">TEXT(0.000123,"#,##0;(#,##0)")</f>
        <v>,000</v>
      </c>
      <c r="B105" s="0" t="s">
        <v>112</v>
      </c>
    </row>
    <row r="106" customFormat="false" ht="15" hidden="false" customHeight="false" outlineLevel="0" collapsed="false">
      <c r="A106" s="0" t="str">
        <f aca="false">TEXT(1234.5678,"#,##0;[Red]-#,##0")</f>
        <v>1234,568</v>
      </c>
      <c r="B106" s="0" t="s">
        <v>113</v>
      </c>
    </row>
    <row r="107" customFormat="false" ht="15" hidden="false" customHeight="false" outlineLevel="0" collapsed="false">
      <c r="A107" s="0" t="str">
        <f aca="false">TEXT(-1234.5678,"#,##0;[Red]-#,##0")</f>
        <v>-1234,568</v>
      </c>
      <c r="B107" s="0" t="s">
        <v>114</v>
      </c>
    </row>
    <row r="108" customFormat="false" ht="15" hidden="false" customHeight="false" outlineLevel="0" collapsed="false">
      <c r="A108" s="0" t="str">
        <f aca="false">TEXT(0,"#,##0;[Red]-#,##0")</f>
        <v>,000</v>
      </c>
      <c r="B108" s="0" t="s">
        <v>115</v>
      </c>
    </row>
    <row r="109" customFormat="false" ht="15" hidden="false" customHeight="false" outlineLevel="0" collapsed="false">
      <c r="A109" s="0" t="str">
        <f aca="false">TEXT(0.5,"#,##0;[Red]-#,##0")</f>
        <v>,500</v>
      </c>
      <c r="B109" s="0" t="s">
        <v>116</v>
      </c>
    </row>
    <row r="110" customFormat="false" ht="15" hidden="false" customHeight="false" outlineLevel="0" collapsed="false">
      <c r="A110" s="0" t="str">
        <f aca="false">TEXT(1000000,"#,##0;[Red]-#,##0")</f>
        <v>1000000,000</v>
      </c>
      <c r="B110" s="0" t="s">
        <v>117</v>
      </c>
    </row>
    <row r="111" customFormat="false" ht="15" hidden="false" customHeight="false" outlineLevel="0" collapsed="false">
      <c r="A111" s="0" t="str">
        <f aca="false">TEXT(12345678.9,"#,##0;[Red]-#,##0")</f>
        <v>12345678,900</v>
      </c>
      <c r="B111" s="0" t="s">
        <v>118</v>
      </c>
    </row>
    <row r="112" customFormat="false" ht="15" hidden="false" customHeight="false" outlineLevel="0" collapsed="false">
      <c r="A112" s="0" t="str">
        <f aca="false">TEXT(0.000123,"#,##0;[Red]-#,##0")</f>
        <v>,000</v>
      </c>
      <c r="B112" s="0" t="s">
        <v>119</v>
      </c>
    </row>
    <row r="113" customFormat="false" ht="15" hidden="false" customHeight="false" outlineLevel="0" collapsed="false">
      <c r="A113" s="0" t="str">
        <f aca="false">TEXT(1234.5678,"[&gt;100]0.0;0")</f>
        <v>1.235</v>
      </c>
      <c r="B113" s="0" t="s">
        <v>120</v>
      </c>
    </row>
    <row r="114" customFormat="false" ht="15" hidden="false" customHeight="false" outlineLevel="0" collapsed="false">
      <c r="A114" s="0" t="str">
        <f aca="false">TEXT(-1234.5678,"[&gt;100]0.0;0")</f>
        <v>1235</v>
      </c>
      <c r="B114" s="0" t="s">
        <v>121</v>
      </c>
    </row>
    <row r="115" customFormat="false" ht="15" hidden="false" customHeight="false" outlineLevel="0" collapsed="false">
      <c r="A115" s="0" t="str">
        <f aca="false">TEXT(0,"[&gt;100]0.0;0")</f>
        <v>0</v>
      </c>
      <c r="B115" s="0" t="s">
        <v>122</v>
      </c>
    </row>
    <row r="116" customFormat="false" ht="15" hidden="false" customHeight="false" outlineLevel="0" collapsed="false">
      <c r="A116" s="0" t="str">
        <f aca="false">TEXT(0.5,"[&gt;100]0.0;0")</f>
        <v>1</v>
      </c>
      <c r="B116" s="0" t="s">
        <v>123</v>
      </c>
    </row>
    <row r="117" customFormat="false" ht="15" hidden="false" customHeight="false" outlineLevel="0" collapsed="false">
      <c r="A117" s="0" t="str">
        <f aca="false">TEXT(1000000,"[&gt;100]0.0;0")</f>
        <v>1.000.000</v>
      </c>
      <c r="B117" s="0" t="s">
        <v>124</v>
      </c>
    </row>
    <row r="118" customFormat="false" ht="15" hidden="false" customHeight="false" outlineLevel="0" collapsed="false">
      <c r="A118" s="0" t="str">
        <f aca="false">TEXT(12345678.9,"[&gt;100]0.0;0")</f>
        <v>12.345.679</v>
      </c>
      <c r="B118" s="0" t="s">
        <v>125</v>
      </c>
    </row>
    <row r="119" customFormat="false" ht="15" hidden="false" customHeight="false" outlineLevel="0" collapsed="false">
      <c r="A119" s="0" t="str">
        <f aca="false">TEXT(0.000123,"[&gt;100]0.0;0")</f>
        <v>0</v>
      </c>
      <c r="B119" s="0" t="s">
        <v>126</v>
      </c>
    </row>
    <row r="120" customFormat="false" ht="15" hidden="false" customHeight="false" outlineLevel="0" collapsed="false">
      <c r="A120" s="0" t="str">
        <f aca="false">TEXT(1234.5678,"0,")</f>
        <v>1235</v>
      </c>
      <c r="B120" s="0" t="s">
        <v>127</v>
      </c>
    </row>
    <row r="121" customFormat="false" ht="15" hidden="false" customHeight="false" outlineLevel="0" collapsed="false">
      <c r="A121" s="0" t="str">
        <f aca="false">TEXT(-1234.5678,"0,")</f>
        <v>-1235</v>
      </c>
      <c r="B121" s="0" t="s">
        <v>128</v>
      </c>
    </row>
    <row r="122" customFormat="false" ht="15" hidden="false" customHeight="false" outlineLevel="0" collapsed="false">
      <c r="A122" s="0" t="str">
        <f aca="false">TEXT(0,"0,")</f>
        <v>0</v>
      </c>
      <c r="B122" s="0" t="s">
        <v>129</v>
      </c>
    </row>
    <row r="123" customFormat="false" ht="15" hidden="false" customHeight="false" outlineLevel="0" collapsed="false">
      <c r="A123" s="0" t="str">
        <f aca="false">TEXT(0.5,"0,")</f>
        <v>1</v>
      </c>
      <c r="B123" s="0" t="s">
        <v>130</v>
      </c>
    </row>
    <row r="124" customFormat="false" ht="15" hidden="false" customHeight="false" outlineLevel="0" collapsed="false">
      <c r="A124" s="0" t="str">
        <f aca="false">TEXT(1000000,"0,")</f>
        <v>1000000</v>
      </c>
      <c r="B124" s="0" t="s">
        <v>131</v>
      </c>
    </row>
    <row r="125" customFormat="false" ht="15" hidden="false" customHeight="false" outlineLevel="0" collapsed="false">
      <c r="A125" s="0" t="str">
        <f aca="false">TEXT(12345678.9,"0,")</f>
        <v>12345679</v>
      </c>
      <c r="B125" s="0" t="s">
        <v>132</v>
      </c>
    </row>
    <row r="126" customFormat="false" ht="15" hidden="false" customHeight="false" outlineLevel="0" collapsed="false">
      <c r="A126" s="0" t="str">
        <f aca="false">TEXT(0.000123,"0,")</f>
        <v>0</v>
      </c>
      <c r="B126" s="0" t="s">
        <v>133</v>
      </c>
    </row>
    <row r="127" customFormat="false" ht="15" hidden="false" customHeight="false" outlineLevel="0" collapsed="false">
      <c r="A127" s="0" t="str">
        <f aca="false">TEXT(1234.5678,"0.0,,")</f>
        <v>1.235,</v>
      </c>
      <c r="B127" s="0" t="s">
        <v>134</v>
      </c>
    </row>
    <row r="128" customFormat="false" ht="15" hidden="false" customHeight="false" outlineLevel="0" collapsed="false">
      <c r="A128" s="0" t="str">
        <f aca="false">TEXT(-1234.5678,"0.0,,")</f>
        <v>-1.235,</v>
      </c>
      <c r="B128" s="0" t="s">
        <v>135</v>
      </c>
    </row>
    <row r="129" customFormat="false" ht="15" hidden="false" customHeight="false" outlineLevel="0" collapsed="false">
      <c r="A129" s="0" t="str">
        <f aca="false">TEXT(0,"0.0,,")</f>
        <v>00,</v>
      </c>
      <c r="B129" s="0" t="s">
        <v>136</v>
      </c>
    </row>
    <row r="130" customFormat="false" ht="15" hidden="false" customHeight="false" outlineLevel="0" collapsed="false">
      <c r="A130" s="0" t="str">
        <f aca="false">TEXT(0.5,"0.0,,")</f>
        <v>01,</v>
      </c>
      <c r="B130" s="0" t="s">
        <v>137</v>
      </c>
    </row>
    <row r="131" customFormat="false" ht="15" hidden="false" customHeight="false" outlineLevel="0" collapsed="false">
      <c r="A131" s="0" t="str">
        <f aca="false">TEXT(1000000,"0.0,,")</f>
        <v>1.000.000,</v>
      </c>
      <c r="B131" s="0" t="s">
        <v>138</v>
      </c>
    </row>
    <row r="132" customFormat="false" ht="15" hidden="false" customHeight="false" outlineLevel="0" collapsed="false">
      <c r="A132" s="0" t="str">
        <f aca="false">TEXT(12345678.9,"0.0,,")</f>
        <v>12.345.679,</v>
      </c>
      <c r="B132" s="0" t="s">
        <v>139</v>
      </c>
    </row>
    <row r="133" customFormat="false" ht="15" hidden="false" customHeight="false" outlineLevel="0" collapsed="false">
      <c r="A133" s="0" t="str">
        <f aca="false">TEXT(0.000123,"0.0,,")</f>
        <v>00,</v>
      </c>
      <c r="B133" s="0" t="s">
        <v>140</v>
      </c>
    </row>
    <row r="134" customFormat="false" ht="15" hidden="false" customHeight="false" outlineLevel="0" collapsed="false">
      <c r="A134" s="0" t="str">
        <f aca="false">TEXT(1234.5678,"00000")</f>
        <v>01235</v>
      </c>
      <c r="B134" s="0" t="s">
        <v>141</v>
      </c>
    </row>
    <row r="135" customFormat="false" ht="15" hidden="false" customHeight="false" outlineLevel="0" collapsed="false">
      <c r="A135" s="0" t="str">
        <f aca="false">TEXT(-1234.5678,"00000")</f>
        <v>-01235</v>
      </c>
      <c r="B135" s="0" t="s">
        <v>142</v>
      </c>
    </row>
    <row r="136" customFormat="false" ht="15" hidden="false" customHeight="false" outlineLevel="0" collapsed="false">
      <c r="A136" s="0" t="str">
        <f aca="false">TEXT(0,"00000")</f>
        <v>00000</v>
      </c>
      <c r="B136" s="0" t="s">
        <v>143</v>
      </c>
    </row>
    <row r="137" customFormat="false" ht="15" hidden="false" customHeight="false" outlineLevel="0" collapsed="false">
      <c r="A137" s="0" t="str">
        <f aca="false">TEXT(0.5,"00000")</f>
        <v>00001</v>
      </c>
      <c r="B137" s="0" t="s">
        <v>144</v>
      </c>
    </row>
    <row r="138" customFormat="false" ht="15" hidden="false" customHeight="false" outlineLevel="0" collapsed="false">
      <c r="A138" s="0" t="str">
        <f aca="false">TEXT(1000000,"00000")</f>
        <v>1000000</v>
      </c>
      <c r="B138" s="0" t="s">
        <v>145</v>
      </c>
    </row>
    <row r="139" customFormat="false" ht="15" hidden="false" customHeight="false" outlineLevel="0" collapsed="false">
      <c r="A139" s="0" t="str">
        <f aca="false">TEXT(12345678.9,"00000")</f>
        <v>12345679</v>
      </c>
      <c r="B139" s="0" t="s">
        <v>146</v>
      </c>
    </row>
    <row r="140" customFormat="false" ht="15" hidden="false" customHeight="false" outlineLevel="0" collapsed="false">
      <c r="A140" s="0" t="str">
        <f aca="false">TEXT(0.000123,"00000")</f>
        <v>00000</v>
      </c>
      <c r="B140" s="0" t="s">
        <v>147</v>
      </c>
    </row>
    <row r="141" customFormat="false" ht="15" hidden="false" customHeight="false" outlineLevel="0" collapsed="false">
      <c r="A141" s="0" t="str">
        <f aca="false">TEXT(1234.5678,"""abc""0")</f>
        <v>abc1235</v>
      </c>
      <c r="B141" s="0" t="s">
        <v>148</v>
      </c>
    </row>
    <row r="142" customFormat="false" ht="15" hidden="false" customHeight="false" outlineLevel="0" collapsed="false">
      <c r="A142" s="0" t="str">
        <f aca="false">TEXT(-1234.5678,"""abc""0")</f>
        <v>-abc1235</v>
      </c>
      <c r="B142" s="0" t="s">
        <v>149</v>
      </c>
    </row>
    <row r="143" customFormat="false" ht="15" hidden="false" customHeight="false" outlineLevel="0" collapsed="false">
      <c r="A143" s="0" t="str">
        <f aca="false">TEXT(0,"""abc""0")</f>
        <v>abc0</v>
      </c>
      <c r="B143" s="0" t="s">
        <v>150</v>
      </c>
    </row>
    <row r="144" customFormat="false" ht="15" hidden="false" customHeight="false" outlineLevel="0" collapsed="false">
      <c r="A144" s="0" t="str">
        <f aca="false">TEXT(0.5,"""abc""0")</f>
        <v>abc1</v>
      </c>
      <c r="B144" s="0" t="s">
        <v>151</v>
      </c>
    </row>
    <row r="145" customFormat="false" ht="15" hidden="false" customHeight="false" outlineLevel="0" collapsed="false">
      <c r="A145" s="0" t="str">
        <f aca="false">TEXT(1000000,"""abc""0")</f>
        <v>abc1000000</v>
      </c>
      <c r="B145" s="0" t="s">
        <v>152</v>
      </c>
    </row>
    <row r="146" customFormat="false" ht="15" hidden="false" customHeight="false" outlineLevel="0" collapsed="false">
      <c r="A146" s="0" t="str">
        <f aca="false">TEXT(12345678.9,"""abc""0")</f>
        <v>abc12345679</v>
      </c>
      <c r="B146" s="0" t="s">
        <v>153</v>
      </c>
    </row>
    <row r="147" customFormat="false" ht="15" hidden="false" customHeight="false" outlineLevel="0" collapsed="false">
      <c r="A147" s="0" t="str">
        <f aca="false">TEXT(0.000123,"""abc""0")</f>
        <v>abc0</v>
      </c>
      <c r="B147" s="0" t="s">
        <v>154</v>
      </c>
    </row>
    <row r="148" customFormat="false" ht="15" hidden="false" customHeight="false" outlineLevel="0" collapsed="false">
      <c r="A148" s="0" t="str">
        <f aca="false">TEXT(1234.5678,"0"" units""")</f>
        <v>1235 units</v>
      </c>
      <c r="B148" s="0" t="s">
        <v>155</v>
      </c>
    </row>
    <row r="149" customFormat="false" ht="15" hidden="false" customHeight="false" outlineLevel="0" collapsed="false">
      <c r="A149" s="0" t="str">
        <f aca="false">TEXT(-1234.5678,"0"" units""")</f>
        <v>-1235 units</v>
      </c>
      <c r="B149" s="0" t="s">
        <v>156</v>
      </c>
    </row>
    <row r="150" customFormat="false" ht="15" hidden="false" customHeight="false" outlineLevel="0" collapsed="false">
      <c r="A150" s="0" t="str">
        <f aca="false">TEXT(0,"0"" units""")</f>
        <v>0 units</v>
      </c>
      <c r="B150" s="0" t="s">
        <v>157</v>
      </c>
    </row>
    <row r="151" customFormat="false" ht="15" hidden="false" customHeight="false" outlineLevel="0" collapsed="false">
      <c r="A151" s="0" t="str">
        <f aca="false">TEXT(0.5,"0"" units""")</f>
        <v>1 units</v>
      </c>
      <c r="B151" s="0" t="s">
        <v>158</v>
      </c>
    </row>
    <row r="152" customFormat="false" ht="15" hidden="false" customHeight="false" outlineLevel="0" collapsed="false">
      <c r="A152" s="0" t="str">
        <f aca="false">TEXT(1000000,"0"" units""")</f>
        <v>1000000 units</v>
      </c>
      <c r="B152" s="0" t="s">
        <v>159</v>
      </c>
    </row>
    <row r="153" customFormat="false" ht="15" hidden="false" customHeight="false" outlineLevel="0" collapsed="false">
      <c r="A153" s="0" t="str">
        <f aca="false">TEXT(12345678.9,"0"" units""")</f>
        <v>12345679 units</v>
      </c>
      <c r="B153" s="0" t="s">
        <v>160</v>
      </c>
    </row>
    <row r="154" customFormat="false" ht="15" hidden="false" customHeight="false" outlineLevel="0" collapsed="false">
      <c r="A154" s="0" t="str">
        <f aca="false">TEXT(0.000123,"0"" units""")</f>
        <v>0 units</v>
      </c>
      <c r="B154" s="0" t="s">
        <v>161</v>
      </c>
    </row>
    <row r="155" customFormat="false" ht="15" hidden="false" customHeight="false" outlineLevel="0" collapsed="false">
      <c r="A155" s="0" t="str">
        <f aca="false">TEXT(1234.5678,"#,##0_);(#,##0)")</f>
        <v>1.235 </v>
      </c>
      <c r="B155" s="0" t="s">
        <v>162</v>
      </c>
    </row>
    <row r="156" customFormat="false" ht="15" hidden="false" customHeight="false" outlineLevel="0" collapsed="false">
      <c r="A156" s="0" t="str">
        <f aca="false">TEXT(-1234.5678,"#,##0_);(#,##0)")</f>
        <v>(1.235)</v>
      </c>
      <c r="B156" s="0" t="s">
        <v>163</v>
      </c>
    </row>
    <row r="157" customFormat="false" ht="15" hidden="false" customHeight="false" outlineLevel="0" collapsed="false">
      <c r="A157" s="0" t="str">
        <f aca="false">TEXT(0,"#,##0_);(#,##0)")</f>
        <v>0 </v>
      </c>
      <c r="B157" s="0" t="s">
        <v>164</v>
      </c>
    </row>
    <row r="158" customFormat="false" ht="15" hidden="false" customHeight="false" outlineLevel="0" collapsed="false">
      <c r="A158" s="0" t="str">
        <f aca="false">TEXT(0.5,"#,##0_);(#,##0)")</f>
        <v>1 </v>
      </c>
      <c r="B158" s="0" t="s">
        <v>165</v>
      </c>
    </row>
    <row r="159" customFormat="false" ht="15" hidden="false" customHeight="false" outlineLevel="0" collapsed="false">
      <c r="A159" s="0" t="str">
        <f aca="false">TEXT(1000000,"#,##0_);(#,##0)")</f>
        <v>1.000.000 </v>
      </c>
      <c r="B159" s="0" t="s">
        <v>166</v>
      </c>
    </row>
    <row r="160" customFormat="false" ht="15" hidden="false" customHeight="false" outlineLevel="0" collapsed="false">
      <c r="A160" s="0" t="str">
        <f aca="false">TEXT(12345678.9,"#,##0_);(#,##0)")</f>
        <v>12.345.679 </v>
      </c>
      <c r="B160" s="0" t="s">
        <v>167</v>
      </c>
    </row>
    <row r="161" customFormat="false" ht="15" hidden="false" customHeight="false" outlineLevel="0" collapsed="false">
      <c r="A161" s="0" t="str">
        <f aca="false">TEXT(0.000123,"#,##0_);(#,##0)")</f>
        <v>0 </v>
      </c>
      <c r="B161" s="0" t="s">
        <v>168</v>
      </c>
    </row>
    <row r="162" customFormat="false" ht="15" hidden="false" customHeight="false" outlineLevel="0" collapsed="false">
      <c r="A162" s="0" t="str">
        <f aca="false">TEXT(1234.5678,"#.##0")</f>
        <v>1.235</v>
      </c>
      <c r="B162" s="0" t="s">
        <v>169</v>
      </c>
    </row>
    <row r="163" customFormat="false" ht="15" hidden="false" customHeight="false" outlineLevel="0" collapsed="false">
      <c r="A163" s="0" t="str">
        <f aca="false">TEXT(-1234.5678,"#.##0")</f>
        <v>-1.235</v>
      </c>
      <c r="B163" s="0" t="s">
        <v>170</v>
      </c>
    </row>
    <row r="164" customFormat="false" ht="15" hidden="false" customHeight="false" outlineLevel="0" collapsed="false">
      <c r="A164" s="0" t="str">
        <f aca="false">TEXT(0,"#.##0")</f>
        <v>0</v>
      </c>
      <c r="B164" s="0" t="s">
        <v>171</v>
      </c>
    </row>
    <row r="165" customFormat="false" ht="15" hidden="false" customHeight="false" outlineLevel="0" collapsed="false">
      <c r="A165" s="0" t="str">
        <f aca="false">TEXT(0.5,"#.##0")</f>
        <v>1</v>
      </c>
      <c r="B165" s="0" t="s">
        <v>172</v>
      </c>
    </row>
    <row r="166" customFormat="false" ht="15" hidden="false" customHeight="false" outlineLevel="0" collapsed="false">
      <c r="A166" s="0" t="str">
        <f aca="false">TEXT(1000000,"#.##0")</f>
        <v>1.000.000</v>
      </c>
      <c r="B166" s="0" t="s">
        <v>173</v>
      </c>
    </row>
    <row r="167" customFormat="false" ht="15" hidden="false" customHeight="false" outlineLevel="0" collapsed="false">
      <c r="A167" s="0" t="str">
        <f aca="false">TEXT(12345678.9,"#.##0")</f>
        <v>12.345.679</v>
      </c>
      <c r="B167" s="0" t="s">
        <v>174</v>
      </c>
    </row>
    <row r="168" customFormat="false" ht="15" hidden="false" customHeight="false" outlineLevel="0" collapsed="false">
      <c r="A168" s="0" t="str">
        <f aca="false">TEXT(0.000123,"#.##0")</f>
        <v>0</v>
      </c>
      <c r="B168" s="0" t="s">
        <v>175</v>
      </c>
    </row>
    <row r="169" customFormat="false" ht="15" hidden="false" customHeight="false" outlineLevel="0" collapsed="false">
      <c r="A169" s="0" t="str">
        <f aca="false">TEXT(1234.5678,"#.###.##0")</f>
        <v>1.235</v>
      </c>
      <c r="B169" s="0" t="s">
        <v>176</v>
      </c>
    </row>
    <row r="170" customFormat="false" ht="15" hidden="false" customHeight="false" outlineLevel="0" collapsed="false">
      <c r="A170" s="0" t="str">
        <f aca="false">TEXT(-1234.5678,"#.###.##0")</f>
        <v>-1.235</v>
      </c>
      <c r="B170" s="0" t="s">
        <v>177</v>
      </c>
    </row>
    <row r="171" customFormat="false" ht="15" hidden="false" customHeight="false" outlineLevel="0" collapsed="false">
      <c r="A171" s="0" t="str">
        <f aca="false">TEXT(0,"#.###.##0")</f>
        <v>0</v>
      </c>
      <c r="B171" s="0" t="s">
        <v>178</v>
      </c>
    </row>
    <row r="172" customFormat="false" ht="15" hidden="false" customHeight="false" outlineLevel="0" collapsed="false">
      <c r="A172" s="0" t="str">
        <f aca="false">TEXT(0.5,"#.###.##0")</f>
        <v>1</v>
      </c>
      <c r="B172" s="0" t="s">
        <v>179</v>
      </c>
    </row>
    <row r="173" customFormat="false" ht="15" hidden="false" customHeight="false" outlineLevel="0" collapsed="false">
      <c r="A173" s="0" t="str">
        <f aca="false">TEXT(1000000,"#.###.##0")</f>
        <v>1.000.000</v>
      </c>
      <c r="B173" s="0" t="s">
        <v>180</v>
      </c>
    </row>
    <row r="174" customFormat="false" ht="15" hidden="false" customHeight="false" outlineLevel="0" collapsed="false">
      <c r="A174" s="0" t="str">
        <f aca="false">TEXT(12345678.9,"#.###.##0")</f>
        <v>12.345.679</v>
      </c>
      <c r="B174" s="0" t="s">
        <v>181</v>
      </c>
    </row>
    <row r="175" customFormat="false" ht="15" hidden="false" customHeight="false" outlineLevel="0" collapsed="false">
      <c r="A175" s="0" t="str">
        <f aca="false">TEXT(0.000123,"#.###.##0")</f>
        <v>0</v>
      </c>
      <c r="B175" s="0" t="s">
        <v>182</v>
      </c>
    </row>
    <row r="176" customFormat="false" ht="15" hidden="false" customHeight="false" outlineLevel="0" collapsed="false">
      <c r="A176" s="0" t="str">
        <f aca="false">TEXT(1234.5678,"0,00")</f>
        <v>1234,57</v>
      </c>
      <c r="B176" s="0" t="s">
        <v>183</v>
      </c>
    </row>
    <row r="177" customFormat="false" ht="15" hidden="false" customHeight="false" outlineLevel="0" collapsed="false">
      <c r="A177" s="0" t="str">
        <f aca="false">TEXT(-1234.5678,"0,00")</f>
        <v>-1234,57</v>
      </c>
      <c r="B177" s="0" t="s">
        <v>184</v>
      </c>
    </row>
    <row r="178" customFormat="false" ht="15" hidden="false" customHeight="false" outlineLevel="0" collapsed="false">
      <c r="A178" s="0" t="str">
        <f aca="false">TEXT(0,"0,00")</f>
        <v>0,00</v>
      </c>
      <c r="B178" s="0" t="s">
        <v>185</v>
      </c>
    </row>
    <row r="179" customFormat="false" ht="15" hidden="false" customHeight="false" outlineLevel="0" collapsed="false">
      <c r="A179" s="0" t="str">
        <f aca="false">TEXT(0.5,"0,00")</f>
        <v>0,50</v>
      </c>
      <c r="B179" s="0" t="s">
        <v>186</v>
      </c>
    </row>
    <row r="180" customFormat="false" ht="15" hidden="false" customHeight="false" outlineLevel="0" collapsed="false">
      <c r="A180" s="0" t="str">
        <f aca="false">TEXT(1000000,"0,00")</f>
        <v>1000000,00</v>
      </c>
      <c r="B180" s="0" t="s">
        <v>187</v>
      </c>
    </row>
    <row r="181" customFormat="false" ht="15" hidden="false" customHeight="false" outlineLevel="0" collapsed="false">
      <c r="A181" s="0" t="str">
        <f aca="false">TEXT(12345678.9,"0,00")</f>
        <v>12345678,90</v>
      </c>
      <c r="B181" s="0" t="s">
        <v>188</v>
      </c>
    </row>
    <row r="182" customFormat="false" ht="15" hidden="false" customHeight="false" outlineLevel="0" collapsed="false">
      <c r="A182" s="0" t="str">
        <f aca="false">TEXT(0.000123,"0,00")</f>
        <v>0,00</v>
      </c>
      <c r="B182" s="0" t="s">
        <v>189</v>
      </c>
    </row>
    <row r="183" customFormat="false" ht="15" hidden="false" customHeight="false" outlineLevel="0" collapsed="false">
      <c r="A183" s="0" t="str">
        <f aca="false">TEXT(1234.5678,"#.##0,00")</f>
        <v>1.234,57</v>
      </c>
      <c r="B183" s="0" t="s">
        <v>190</v>
      </c>
    </row>
    <row r="184" customFormat="false" ht="15" hidden="false" customHeight="false" outlineLevel="0" collapsed="false">
      <c r="A184" s="0" t="str">
        <f aca="false">TEXT(-1234.5678,"#.##0,00")</f>
        <v>-1.234,57</v>
      </c>
      <c r="B184" s="0" t="s">
        <v>191</v>
      </c>
    </row>
    <row r="185" customFormat="false" ht="15" hidden="false" customHeight="false" outlineLevel="0" collapsed="false">
      <c r="A185" s="0" t="str">
        <f aca="false">TEXT(0,"#.##0,00")</f>
        <v>0,00</v>
      </c>
      <c r="B185" s="0" t="s">
        <v>192</v>
      </c>
    </row>
    <row r="186" customFormat="false" ht="15" hidden="false" customHeight="false" outlineLevel="0" collapsed="false">
      <c r="A186" s="0" t="str">
        <f aca="false">TEXT(0.5,"#.##0,00")</f>
        <v>0,50</v>
      </c>
      <c r="B186" s="0" t="s">
        <v>193</v>
      </c>
    </row>
    <row r="187" customFormat="false" ht="15" hidden="false" customHeight="false" outlineLevel="0" collapsed="false">
      <c r="A187" s="0" t="str">
        <f aca="false">TEXT(1000000,"#.##0,00")</f>
        <v>1.000.000,00</v>
      </c>
      <c r="B187" s="0" t="s">
        <v>194</v>
      </c>
    </row>
    <row r="188" customFormat="false" ht="15" hidden="false" customHeight="false" outlineLevel="0" collapsed="false">
      <c r="A188" s="0" t="str">
        <f aca="false">TEXT(12345678.9,"#.##0,00")</f>
        <v>12.345.678,90</v>
      </c>
      <c r="B188" s="0" t="s">
        <v>195</v>
      </c>
    </row>
    <row r="189" customFormat="false" ht="15" hidden="false" customHeight="false" outlineLevel="0" collapsed="false">
      <c r="A189" s="0" t="str">
        <f aca="false">TEXT(0.000123,"#.##0,00")</f>
        <v>0,00</v>
      </c>
      <c r="B189" s="0" t="s">
        <v>196</v>
      </c>
    </row>
    <row r="190" customFormat="false" ht="15" hidden="false" customHeight="false" outlineLevel="0" collapsed="false">
      <c r="A190" s="0" t="str">
        <f aca="false">TEXT(1234.5678,"@")</f>
        <v>1234,5678</v>
      </c>
      <c r="B190" s="0" t="s">
        <v>197</v>
      </c>
    </row>
    <row r="191" customFormat="false" ht="15" hidden="false" customHeight="false" outlineLevel="0" collapsed="false">
      <c r="A191" s="0" t="str">
        <f aca="false">TEXT(-1234.5678,"@")</f>
        <v>-1234,5678</v>
      </c>
      <c r="B191" s="0" t="s">
        <v>198</v>
      </c>
    </row>
    <row r="192" customFormat="false" ht="15" hidden="false" customHeight="false" outlineLevel="0" collapsed="false">
      <c r="A192" s="0" t="str">
        <f aca="false">TEXT(0,"@")</f>
        <v>0</v>
      </c>
      <c r="B192" s="0" t="s">
        <v>199</v>
      </c>
    </row>
    <row r="193" customFormat="false" ht="15" hidden="false" customHeight="false" outlineLevel="0" collapsed="false">
      <c r="A193" s="0" t="str">
        <f aca="false">TEXT(0.5,"@")</f>
        <v>0,5</v>
      </c>
      <c r="B193" s="0" t="s">
        <v>200</v>
      </c>
    </row>
    <row r="194" customFormat="false" ht="15" hidden="false" customHeight="false" outlineLevel="0" collapsed="false">
      <c r="A194" s="0" t="str">
        <f aca="false">TEXT(1000000,"@")</f>
        <v>1000000</v>
      </c>
      <c r="B194" s="0" t="s">
        <v>201</v>
      </c>
    </row>
    <row r="195" customFormat="false" ht="15" hidden="false" customHeight="false" outlineLevel="0" collapsed="false">
      <c r="A195" s="0" t="str">
        <f aca="false">TEXT(12345678.9,"@")</f>
        <v>12345678,9</v>
      </c>
      <c r="B195" s="0" t="s">
        <v>202</v>
      </c>
    </row>
    <row r="196" customFormat="false" ht="15" hidden="false" customHeight="false" outlineLevel="0" collapsed="false">
      <c r="A196" s="0" t="str">
        <f aca="false">TEXT(0.000123,"@")</f>
        <v>0,000123</v>
      </c>
      <c r="B196" s="0" t="s">
        <v>203</v>
      </c>
    </row>
    <row r="197" customFormat="false" ht="15" hidden="false" customHeight="false" outlineLevel="0" collapsed="false">
      <c r="A197" s="0" t="str">
        <f aca="false">TEXT(1234.5678,"0.0E+0")</f>
        <v>12E+2</v>
      </c>
      <c r="B197" s="0" t="s">
        <v>204</v>
      </c>
    </row>
    <row r="198" customFormat="false" ht="15" hidden="false" customHeight="false" outlineLevel="0" collapsed="false">
      <c r="A198" s="0" t="str">
        <f aca="false">TEXT(-1234.5678,"0.0E+0")</f>
        <v>-12E+2</v>
      </c>
      <c r="B198" s="0" t="s">
        <v>205</v>
      </c>
    </row>
    <row r="199" customFormat="false" ht="15" hidden="false" customHeight="false" outlineLevel="0" collapsed="false">
      <c r="A199" s="0" t="str">
        <f aca="false">TEXT(0,"0.0E+0")</f>
        <v>00E+0</v>
      </c>
      <c r="B199" s="0" t="s">
        <v>206</v>
      </c>
    </row>
    <row r="200" customFormat="false" ht="15" hidden="false" customHeight="false" outlineLevel="0" collapsed="false">
      <c r="A200" s="0" t="str">
        <f aca="false">TEXT(0.5,"0.0E+0")</f>
        <v>50E-2</v>
      </c>
      <c r="B200" s="0" t="s">
        <v>207</v>
      </c>
    </row>
    <row r="201" customFormat="false" ht="15" hidden="false" customHeight="false" outlineLevel="0" collapsed="false">
      <c r="A201" s="0" t="str">
        <f aca="false">TEXT(1000000,"0.0E+0")</f>
        <v>01E+6</v>
      </c>
      <c r="B201" s="0" t="s">
        <v>208</v>
      </c>
    </row>
    <row r="202" customFormat="false" ht="15" hidden="false" customHeight="false" outlineLevel="0" collapsed="false">
      <c r="A202" s="0" t="str">
        <f aca="false">TEXT(12345678.9,"0.0E+0")</f>
        <v>12E+6</v>
      </c>
      <c r="B202" s="0" t="s">
        <v>209</v>
      </c>
    </row>
    <row r="203" customFormat="false" ht="15" hidden="false" customHeight="false" outlineLevel="0" collapsed="false">
      <c r="A203" s="0" t="str">
        <f aca="false">TEXT(0.000123,"0.0E+0")</f>
        <v>01E-4</v>
      </c>
      <c r="B203" s="0" t="s">
        <v>210</v>
      </c>
    </row>
    <row r="204" customFormat="false" ht="15" hidden="false" customHeight="false" outlineLevel="0" collapsed="false">
      <c r="A204" s="0" t="str">
        <f aca="false">TEXT(1234.5678,"##0.0E+0")</f>
        <v>1.235E+0</v>
      </c>
      <c r="B204" s="0" t="s">
        <v>211</v>
      </c>
    </row>
    <row r="205" customFormat="false" ht="15" hidden="false" customHeight="false" outlineLevel="0" collapsed="false">
      <c r="A205" s="0" t="str">
        <f aca="false">TEXT(-1234.5678,"##0.0E+0")</f>
        <v>-1.235E+0</v>
      </c>
      <c r="B205" s="0" t="s">
        <v>212</v>
      </c>
    </row>
    <row r="206" customFormat="false" ht="15" hidden="false" customHeight="false" outlineLevel="0" collapsed="false">
      <c r="A206" s="0" t="str">
        <f aca="false">TEXT(0,"##0.0E+0")</f>
        <v>00E+0</v>
      </c>
      <c r="B206" s="0" t="s">
        <v>213</v>
      </c>
    </row>
    <row r="207" customFormat="false" ht="15" hidden="false" customHeight="false" outlineLevel="0" collapsed="false">
      <c r="A207" s="0" t="str">
        <f aca="false">TEXT(0.5,"##0.0E+0")</f>
        <v>5.000E-4</v>
      </c>
      <c r="B207" s="0" t="s">
        <v>214</v>
      </c>
    </row>
    <row r="208" customFormat="false" ht="15" hidden="false" customHeight="false" outlineLevel="0" collapsed="false">
      <c r="A208" s="0" t="str">
        <f aca="false">TEXT(1000000,"##0.0E+0")</f>
        <v>100E+4</v>
      </c>
      <c r="B208" s="0" t="s">
        <v>215</v>
      </c>
    </row>
    <row r="209" customFormat="false" ht="15" hidden="false" customHeight="false" outlineLevel="0" collapsed="false">
      <c r="A209" s="0" t="str">
        <f aca="false">TEXT(12345678.9,"##0.0E+0")</f>
        <v>1.235E+4</v>
      </c>
      <c r="B209" s="0" t="s">
        <v>216</v>
      </c>
    </row>
    <row r="210" customFormat="false" ht="15" hidden="false" customHeight="false" outlineLevel="0" collapsed="false">
      <c r="A210" s="0" t="str">
        <f aca="false">TEXT(0.000123,"##0.0E+0")</f>
        <v>01E-4</v>
      </c>
      <c r="B210" s="0" t="s">
        <v>217</v>
      </c>
    </row>
    <row r="211" customFormat="false" ht="15" hidden="false" customHeight="false" outlineLevel="0" collapsed="false">
      <c r="A211" s="0" t="str">
        <f aca="false">TEXT(1234.5678,"\$0")</f>
        <v>$1235</v>
      </c>
      <c r="B211" s="0" t="s">
        <v>218</v>
      </c>
    </row>
    <row r="212" customFormat="false" ht="15" hidden="false" customHeight="false" outlineLevel="0" collapsed="false">
      <c r="A212" s="0" t="str">
        <f aca="false">TEXT(-1234.5678,"\$0")</f>
        <v>-$1235</v>
      </c>
      <c r="B212" s="0" t="s">
        <v>219</v>
      </c>
    </row>
    <row r="213" customFormat="false" ht="15" hidden="false" customHeight="false" outlineLevel="0" collapsed="false">
      <c r="A213" s="0" t="str">
        <f aca="false">TEXT(0,"\$0")</f>
        <v>$0</v>
      </c>
      <c r="B213" s="0" t="s">
        <v>220</v>
      </c>
    </row>
    <row r="214" customFormat="false" ht="15" hidden="false" customHeight="false" outlineLevel="0" collapsed="false">
      <c r="A214" s="0" t="str">
        <f aca="false">TEXT(0.5,"\$0")</f>
        <v>$1</v>
      </c>
      <c r="B214" s="0" t="s">
        <v>221</v>
      </c>
    </row>
    <row r="215" customFormat="false" ht="15" hidden="false" customHeight="false" outlineLevel="0" collapsed="false">
      <c r="A215" s="0" t="str">
        <f aca="false">TEXT(1000000,"\$0")</f>
        <v>$1000000</v>
      </c>
      <c r="B215" s="0" t="s">
        <v>222</v>
      </c>
    </row>
    <row r="216" customFormat="false" ht="15" hidden="false" customHeight="false" outlineLevel="0" collapsed="false">
      <c r="A216" s="0" t="str">
        <f aca="false">TEXT(12345678.9,"\$0")</f>
        <v>$12345679</v>
      </c>
      <c r="B216" s="0" t="s">
        <v>223</v>
      </c>
    </row>
    <row r="217" customFormat="false" ht="15" hidden="false" customHeight="false" outlineLevel="0" collapsed="false">
      <c r="A217" s="0" t="str">
        <f aca="false">TEXT(0.000123,"\$0")</f>
        <v>$0</v>
      </c>
      <c r="B217" s="0" t="s">
        <v>224</v>
      </c>
    </row>
    <row r="218" customFormat="false" ht="15" hidden="false" customHeight="false" outlineLevel="0" collapsed="false">
      <c r="A218" s="0" t="str">
        <f aca="false">TEXT(1234.5678,"000-00")</f>
        <v>012-35</v>
      </c>
      <c r="B218" s="0" t="s">
        <v>225</v>
      </c>
    </row>
    <row r="219" customFormat="false" ht="15" hidden="false" customHeight="false" outlineLevel="0" collapsed="false">
      <c r="A219" s="0" t="str">
        <f aca="false">TEXT(-1234.5678,"000-00")</f>
        <v>-012-35</v>
      </c>
      <c r="B219" s="0" t="s">
        <v>226</v>
      </c>
    </row>
    <row r="220" customFormat="false" ht="15" hidden="false" customHeight="false" outlineLevel="0" collapsed="false">
      <c r="A220" s="0" t="str">
        <f aca="false">TEXT(0,"000-00")</f>
        <v>000-00</v>
      </c>
      <c r="B220" s="0" t="s">
        <v>227</v>
      </c>
    </row>
    <row r="221" customFormat="false" ht="15" hidden="false" customHeight="false" outlineLevel="0" collapsed="false">
      <c r="A221" s="0" t="str">
        <f aca="false">TEXT(0.5,"000-00")</f>
        <v>000-01</v>
      </c>
      <c r="B221" s="0" t="s">
        <v>228</v>
      </c>
    </row>
    <row r="222" customFormat="false" ht="15" hidden="false" customHeight="false" outlineLevel="0" collapsed="false">
      <c r="A222" s="0" t="str">
        <f aca="false">TEXT(1000000,"000-00")</f>
        <v>10000-00</v>
      </c>
      <c r="B222" s="0" t="s">
        <v>229</v>
      </c>
    </row>
    <row r="223" customFormat="false" ht="15" hidden="false" customHeight="false" outlineLevel="0" collapsed="false">
      <c r="A223" s="0" t="str">
        <f aca="false">TEXT(12345678.9,"000-00")</f>
        <v>123456-79</v>
      </c>
      <c r="B223" s="0" t="s">
        <v>230</v>
      </c>
    </row>
    <row r="224" customFormat="false" ht="15" hidden="false" customHeight="false" outlineLevel="0" collapsed="false">
      <c r="A224" s="0" t="str">
        <f aca="false">TEXT(0.000123,"000-00")</f>
        <v>000-00</v>
      </c>
      <c r="B224" s="0" t="s">
        <v>231</v>
      </c>
    </row>
    <row r="225" customFormat="false" ht="15" hidden="false" customHeight="false" outlineLevel="0" collapsed="false">
      <c r="A225" s="0" t="str">
        <f aca="false">TEXT(1234.5678,"#,###")</f>
        <v>1234,568</v>
      </c>
      <c r="B225" s="0" t="s">
        <v>232</v>
      </c>
    </row>
    <row r="226" customFormat="false" ht="15" hidden="false" customHeight="false" outlineLevel="0" collapsed="false">
      <c r="A226" s="0" t="str">
        <f aca="false">TEXT(-1234.5678,"#,###")</f>
        <v>-1234,568</v>
      </c>
      <c r="B226" s="0" t="s">
        <v>233</v>
      </c>
    </row>
    <row r="227" customFormat="false" ht="15" hidden="false" customHeight="false" outlineLevel="0" collapsed="false">
      <c r="A227" s="0" t="str">
        <f aca="false">TEXT(0,"#,###")</f>
        <v/>
      </c>
      <c r="B227" s="0" t="s">
        <v>234</v>
      </c>
    </row>
    <row r="228" customFormat="false" ht="15" hidden="false" customHeight="false" outlineLevel="0" collapsed="false">
      <c r="A228" s="0" t="str">
        <f aca="false">TEXT(0.5,"#,###")</f>
        <v>,5</v>
      </c>
      <c r="B228" s="0" t="s">
        <v>235</v>
      </c>
    </row>
    <row r="229" customFormat="false" ht="15" hidden="false" customHeight="false" outlineLevel="0" collapsed="false">
      <c r="A229" s="0" t="str">
        <f aca="false">TEXT(1000000,"#,###")</f>
        <v>1000000</v>
      </c>
      <c r="B229" s="0" t="s">
        <v>236</v>
      </c>
    </row>
    <row r="230" customFormat="false" ht="15" hidden="false" customHeight="false" outlineLevel="0" collapsed="false">
      <c r="A230" s="0" t="str">
        <f aca="false">TEXT(12345678.9,"#,###")</f>
        <v>12345678,9</v>
      </c>
      <c r="B230" s="0" t="s">
        <v>237</v>
      </c>
    </row>
    <row r="231" customFormat="false" ht="15" hidden="false" customHeight="false" outlineLevel="0" collapsed="false">
      <c r="A231" s="0" t="str">
        <f aca="false">TEXT(0.000123,"#,###")</f>
        <v/>
      </c>
      <c r="B231" s="0" t="s">
        <v>238</v>
      </c>
    </row>
    <row r="232" customFormat="false" ht="15" hidden="false" customHeight="false" outlineLevel="0" collapsed="false">
      <c r="A232" s="0" t="str">
        <f aca="false">TEXT(1234.5678,"0.0")</f>
        <v>1.235</v>
      </c>
      <c r="B232" s="0" t="s">
        <v>239</v>
      </c>
    </row>
    <row r="233" customFormat="false" ht="15" hidden="false" customHeight="false" outlineLevel="0" collapsed="false">
      <c r="A233" s="0" t="str">
        <f aca="false">TEXT(-1234.5678,"0.0")</f>
        <v>-1.235</v>
      </c>
      <c r="B233" s="0" t="s">
        <v>240</v>
      </c>
    </row>
    <row r="234" customFormat="false" ht="15" hidden="false" customHeight="false" outlineLevel="0" collapsed="false">
      <c r="A234" s="0" t="str">
        <f aca="false">TEXT(0,"0.0")</f>
        <v>00</v>
      </c>
      <c r="B234" s="0" t="s">
        <v>241</v>
      </c>
    </row>
    <row r="235" customFormat="false" ht="15" hidden="false" customHeight="false" outlineLevel="0" collapsed="false">
      <c r="A235" s="0" t="str">
        <f aca="false">TEXT(0.5,"0.0")</f>
        <v>01</v>
      </c>
      <c r="B235" s="0" t="s">
        <v>242</v>
      </c>
    </row>
    <row r="236" customFormat="false" ht="15" hidden="false" customHeight="false" outlineLevel="0" collapsed="false">
      <c r="A236" s="0" t="str">
        <f aca="false">TEXT(1000000,"0.0")</f>
        <v>1.000.000</v>
      </c>
      <c r="B236" s="0" t="s">
        <v>243</v>
      </c>
    </row>
    <row r="237" customFormat="false" ht="15" hidden="false" customHeight="false" outlineLevel="0" collapsed="false">
      <c r="A237" s="0" t="str">
        <f aca="false">TEXT(12345678.9,"0.0")</f>
        <v>12.345.679</v>
      </c>
      <c r="B237" s="0" t="s">
        <v>244</v>
      </c>
    </row>
    <row r="238" customFormat="false" ht="15" hidden="false" customHeight="false" outlineLevel="0" collapsed="false">
      <c r="A238" s="0" t="str">
        <f aca="false">TEXT(0.000123,"0.0")</f>
        <v>00</v>
      </c>
      <c r="B238" s="0" t="s">
        <v>245</v>
      </c>
    </row>
    <row r="239" customFormat="false" ht="15" hidden="false" customHeight="false" outlineLevel="0" collapsed="false">
      <c r="A239" s="0" t="str">
        <f aca="false">TEXT(1234.5678,"0.000")</f>
        <v>1.235</v>
      </c>
      <c r="B239" s="0" t="s">
        <v>246</v>
      </c>
    </row>
    <row r="240" customFormat="false" ht="15" hidden="false" customHeight="false" outlineLevel="0" collapsed="false">
      <c r="A240" s="0" t="str">
        <f aca="false">TEXT(-1234.5678,"0.000")</f>
        <v>-1.235</v>
      </c>
      <c r="B240" s="0" t="s">
        <v>247</v>
      </c>
    </row>
    <row r="241" customFormat="false" ht="15" hidden="false" customHeight="false" outlineLevel="0" collapsed="false">
      <c r="A241" s="0" t="str">
        <f aca="false">TEXT(0,"0.000")</f>
        <v>0.000</v>
      </c>
      <c r="B241" s="0" t="s">
        <v>248</v>
      </c>
    </row>
    <row r="242" customFormat="false" ht="15" hidden="false" customHeight="false" outlineLevel="0" collapsed="false">
      <c r="A242" s="0" t="str">
        <f aca="false">TEXT(0.5,"0.000")</f>
        <v>0.001</v>
      </c>
      <c r="B242" s="0" t="s">
        <v>249</v>
      </c>
    </row>
    <row r="243" customFormat="false" ht="15" hidden="false" customHeight="false" outlineLevel="0" collapsed="false">
      <c r="A243" s="0" t="str">
        <f aca="false">TEXT(1000000,"0.000")</f>
        <v>1.000.000</v>
      </c>
      <c r="B243" s="0" t="s">
        <v>250</v>
      </c>
    </row>
    <row r="244" customFormat="false" ht="15" hidden="false" customHeight="false" outlineLevel="0" collapsed="false">
      <c r="A244" s="0" t="str">
        <f aca="false">TEXT(12345678.9,"0.000")</f>
        <v>12.345.679</v>
      </c>
      <c r="B244" s="0" t="s">
        <v>251</v>
      </c>
    </row>
    <row r="245" customFormat="false" ht="15" hidden="false" customHeight="false" outlineLevel="0" collapsed="false">
      <c r="A245" s="0" t="str">
        <f aca="false">TEXT(0.000123,"0.000")</f>
        <v>0.000</v>
      </c>
      <c r="B245" s="0" t="s">
        <v>252</v>
      </c>
    </row>
    <row r="246" customFormat="false" ht="15" hidden="false" customHeight="false" outlineLevel="0" collapsed="false">
      <c r="A246" s="0" t="str">
        <f aca="false">TEXT(1234.5678,"#.#")</f>
        <v>1.235</v>
      </c>
      <c r="B246" s="0" t="s">
        <v>253</v>
      </c>
    </row>
    <row r="247" customFormat="false" ht="15" hidden="false" customHeight="false" outlineLevel="0" collapsed="false">
      <c r="A247" s="0" t="str">
        <f aca="false">TEXT(-1234.5678,"#.#")</f>
        <v>-1.235</v>
      </c>
      <c r="B247" s="0" t="s">
        <v>254</v>
      </c>
    </row>
    <row r="248" customFormat="false" ht="15" hidden="false" customHeight="false" outlineLevel="0" collapsed="false">
      <c r="A248" s="0" t="str">
        <f aca="false">TEXT(0,"#.#")</f>
        <v/>
      </c>
      <c r="B248" s="0" t="s">
        <v>255</v>
      </c>
    </row>
    <row r="249" customFormat="false" ht="15" hidden="false" customHeight="false" outlineLevel="0" collapsed="false">
      <c r="A249" s="0" t="str">
        <f aca="false">TEXT(0.5,"#.#")</f>
        <v>1</v>
      </c>
      <c r="B249" s="0" t="s">
        <v>256</v>
      </c>
    </row>
    <row r="250" customFormat="false" ht="15" hidden="false" customHeight="false" outlineLevel="0" collapsed="false">
      <c r="A250" s="0" t="str">
        <f aca="false">TEXT(1000000,"#.#")</f>
        <v>1.000.000</v>
      </c>
      <c r="B250" s="0" t="s">
        <v>257</v>
      </c>
    </row>
    <row r="251" customFormat="false" ht="15" hidden="false" customHeight="false" outlineLevel="0" collapsed="false">
      <c r="A251" s="0" t="str">
        <f aca="false">TEXT(12345678.9,"#.#")</f>
        <v>12.345.679</v>
      </c>
      <c r="B251" s="0" t="s">
        <v>258</v>
      </c>
    </row>
    <row r="252" customFormat="false" ht="15" hidden="false" customHeight="false" outlineLevel="0" collapsed="false">
      <c r="A252" s="0" t="str">
        <f aca="false">TEXT(0.000123,"#.#")</f>
        <v/>
      </c>
      <c r="B252" s="0" t="s">
        <v>259</v>
      </c>
    </row>
    <row r="253" customFormat="false" ht="15" hidden="false" customHeight="false" outlineLevel="0" collapsed="false">
      <c r="A253" s="0" t="str">
        <f aca="false">TEXT(1234.5678,"00.00")</f>
        <v>1.235</v>
      </c>
      <c r="B253" s="0" t="s">
        <v>260</v>
      </c>
    </row>
    <row r="254" customFormat="false" ht="15" hidden="false" customHeight="false" outlineLevel="0" collapsed="false">
      <c r="A254" s="0" t="str">
        <f aca="false">TEXT(-1234.5678,"00.00")</f>
        <v>-1.235</v>
      </c>
      <c r="B254" s="0" t="s">
        <v>261</v>
      </c>
    </row>
    <row r="255" customFormat="false" ht="15" hidden="false" customHeight="false" outlineLevel="0" collapsed="false">
      <c r="A255" s="0" t="str">
        <f aca="false">TEXT(0,"00.00")</f>
        <v>0.000</v>
      </c>
      <c r="B255" s="0" t="s">
        <v>262</v>
      </c>
    </row>
    <row r="256" customFormat="false" ht="15" hidden="false" customHeight="false" outlineLevel="0" collapsed="false">
      <c r="A256" s="0" t="str">
        <f aca="false">TEXT(0.5,"00.00")</f>
        <v>0.001</v>
      </c>
      <c r="B256" s="0" t="s">
        <v>263</v>
      </c>
    </row>
    <row r="257" customFormat="false" ht="15" hidden="false" customHeight="false" outlineLevel="0" collapsed="false">
      <c r="A257" s="0" t="str">
        <f aca="false">TEXT(1000000,"00.00")</f>
        <v>1.000.000</v>
      </c>
      <c r="B257" s="0" t="s">
        <v>264</v>
      </c>
    </row>
    <row r="258" customFormat="false" ht="15" hidden="false" customHeight="false" outlineLevel="0" collapsed="false">
      <c r="A258" s="0" t="str">
        <f aca="false">TEXT(12345678.9,"00.00")</f>
        <v>12.345.679</v>
      </c>
      <c r="B258" s="0" t="s">
        <v>265</v>
      </c>
    </row>
    <row r="259" customFormat="false" ht="15" hidden="false" customHeight="false" outlineLevel="0" collapsed="false">
      <c r="A259" s="0" t="str">
        <f aca="false">TEXT(0.000123,"00.00")</f>
        <v>0.000</v>
      </c>
      <c r="B259" s="0" t="s">
        <v>266</v>
      </c>
    </row>
    <row r="260" customFormat="false" ht="15" hidden="false" customHeight="false" outlineLevel="0" collapsed="false">
      <c r="A260" s="0" t="str">
        <f aca="false">TEXT(1234.5678,"0.#")</f>
        <v>1.235</v>
      </c>
      <c r="B260" s="0" t="s">
        <v>267</v>
      </c>
    </row>
    <row r="261" customFormat="false" ht="15" hidden="false" customHeight="false" outlineLevel="0" collapsed="false">
      <c r="A261" s="0" t="str">
        <f aca="false">TEXT(-1234.5678,"0.#")</f>
        <v>-1.235</v>
      </c>
      <c r="B261" s="0" t="s">
        <v>268</v>
      </c>
    </row>
    <row r="262" customFormat="false" ht="15" hidden="false" customHeight="false" outlineLevel="0" collapsed="false">
      <c r="A262" s="0" t="str">
        <f aca="false">TEXT(0,"0.#")</f>
        <v>0</v>
      </c>
      <c r="B262" s="0" t="s">
        <v>269</v>
      </c>
    </row>
    <row r="263" customFormat="false" ht="15" hidden="false" customHeight="false" outlineLevel="0" collapsed="false">
      <c r="A263" s="0" t="str">
        <f aca="false">TEXT(0.5,"0.#")</f>
        <v>01</v>
      </c>
      <c r="B263" s="0" t="s">
        <v>270</v>
      </c>
    </row>
    <row r="264" customFormat="false" ht="15" hidden="false" customHeight="false" outlineLevel="0" collapsed="false">
      <c r="A264" s="0" t="str">
        <f aca="false">TEXT(1000000,"0.#")</f>
        <v>1.000.000</v>
      </c>
      <c r="B264" s="0" t="s">
        <v>271</v>
      </c>
    </row>
    <row r="265" customFormat="false" ht="15" hidden="false" customHeight="false" outlineLevel="0" collapsed="false">
      <c r="A265" s="0" t="str">
        <f aca="false">TEXT(12345678.9,"0.#")</f>
        <v>12.345.679</v>
      </c>
      <c r="B265" s="0" t="s">
        <v>272</v>
      </c>
    </row>
    <row r="266" customFormat="false" ht="15" hidden="false" customHeight="false" outlineLevel="0" collapsed="false">
      <c r="A266" s="0" t="str">
        <f aca="false">TEXT(0.000123,"0.#")</f>
        <v>0</v>
      </c>
      <c r="B266" s="0" t="s">
        <v>273</v>
      </c>
    </row>
    <row r="267" customFormat="false" ht="15" hidden="false" customHeight="false" outlineLevel="0" collapsed="false">
      <c r="A267" s="0" t="str">
        <f aca="false">TEXT(1234.5678,"#,#")</f>
        <v>1234,6</v>
      </c>
      <c r="B267" s="0" t="s">
        <v>274</v>
      </c>
    </row>
    <row r="268" customFormat="false" ht="15" hidden="false" customHeight="false" outlineLevel="0" collapsed="false">
      <c r="A268" s="0" t="str">
        <f aca="false">TEXT(-1234.5678,"#,#")</f>
        <v>-1234,6</v>
      </c>
      <c r="B268" s="0" t="s">
        <v>275</v>
      </c>
    </row>
    <row r="269" customFormat="false" ht="15" hidden="false" customHeight="false" outlineLevel="0" collapsed="false">
      <c r="A269" s="0" t="str">
        <f aca="false">TEXT(0,"#,#")</f>
        <v/>
      </c>
      <c r="B269" s="0" t="s">
        <v>276</v>
      </c>
    </row>
    <row r="270" customFormat="false" ht="15" hidden="false" customHeight="false" outlineLevel="0" collapsed="false">
      <c r="A270" s="0" t="str">
        <f aca="false">TEXT(0.5,"#,#")</f>
        <v>,5</v>
      </c>
      <c r="B270" s="0" t="s">
        <v>277</v>
      </c>
    </row>
    <row r="271" customFormat="false" ht="15" hidden="false" customHeight="false" outlineLevel="0" collapsed="false">
      <c r="A271" s="0" t="str">
        <f aca="false">TEXT(1000000,"#,#")</f>
        <v>1000000</v>
      </c>
      <c r="B271" s="0" t="s">
        <v>278</v>
      </c>
    </row>
    <row r="272" customFormat="false" ht="15" hidden="false" customHeight="false" outlineLevel="0" collapsed="false">
      <c r="A272" s="0" t="str">
        <f aca="false">TEXT(12345678.9,"#,#")</f>
        <v>12345678,9</v>
      </c>
      <c r="B272" s="0" t="s">
        <v>279</v>
      </c>
    </row>
    <row r="273" customFormat="false" ht="15" hidden="false" customHeight="false" outlineLevel="0" collapsed="false">
      <c r="A273" s="0" t="str">
        <f aca="false">TEXT(0.000123,"#,#")</f>
        <v/>
      </c>
      <c r="B273" s="0" t="s">
        <v>280</v>
      </c>
    </row>
    <row r="274" customFormat="false" ht="15" hidden="false" customHeight="false" outlineLevel="0" collapsed="false">
      <c r="A274" s="0" t="str">
        <f aca="false">TEXT(1234.5678,"#,##")</f>
        <v>1234,57</v>
      </c>
      <c r="B274" s="0" t="s">
        <v>281</v>
      </c>
    </row>
    <row r="275" customFormat="false" ht="15" hidden="false" customHeight="false" outlineLevel="0" collapsed="false">
      <c r="A275" s="0" t="str">
        <f aca="false">TEXT(-1234.5678,"#,##")</f>
        <v>-1234,57</v>
      </c>
      <c r="B275" s="0" t="s">
        <v>282</v>
      </c>
    </row>
    <row r="276" customFormat="false" ht="15" hidden="false" customHeight="false" outlineLevel="0" collapsed="false">
      <c r="A276" s="0" t="str">
        <f aca="false">TEXT(0,"#,##")</f>
        <v/>
      </c>
      <c r="B276" s="0" t="s">
        <v>283</v>
      </c>
    </row>
    <row r="277" customFormat="false" ht="15" hidden="false" customHeight="false" outlineLevel="0" collapsed="false">
      <c r="A277" s="0" t="str">
        <f aca="false">TEXT(0.5,"#,##")</f>
        <v>,5</v>
      </c>
      <c r="B277" s="0" t="s">
        <v>284</v>
      </c>
    </row>
    <row r="278" customFormat="false" ht="15" hidden="false" customHeight="false" outlineLevel="0" collapsed="false">
      <c r="A278" s="0" t="str">
        <f aca="false">TEXT(1000000,"#,##")</f>
        <v>1000000</v>
      </c>
      <c r="B278" s="0" t="s">
        <v>285</v>
      </c>
    </row>
    <row r="279" customFormat="false" ht="15" hidden="false" customHeight="false" outlineLevel="0" collapsed="false">
      <c r="A279" s="0" t="str">
        <f aca="false">TEXT(12345678.9,"#,##")</f>
        <v>12345678,9</v>
      </c>
      <c r="B279" s="0" t="s">
        <v>286</v>
      </c>
    </row>
    <row r="280" customFormat="false" ht="15" hidden="false" customHeight="false" outlineLevel="0" collapsed="false">
      <c r="A280" s="0" t="str">
        <f aca="false">TEXT(0.000123,"#,##")</f>
        <v/>
      </c>
      <c r="B280" s="0" t="s">
        <v>287</v>
      </c>
    </row>
    <row r="281" customFormat="false" ht="15" hidden="false" customHeight="false" outlineLevel="0" collapsed="false">
      <c r="A281" s="0" t="str">
        <f aca="false">TEXT(1234.5678,"0,0")</f>
        <v>1234,6</v>
      </c>
      <c r="B281" s="0" t="s">
        <v>288</v>
      </c>
    </row>
    <row r="282" customFormat="false" ht="15" hidden="false" customHeight="false" outlineLevel="0" collapsed="false">
      <c r="A282" s="0" t="str">
        <f aca="false">TEXT(-1234.5678,"0,0")</f>
        <v>-1234,6</v>
      </c>
      <c r="B282" s="0" t="s">
        <v>289</v>
      </c>
    </row>
    <row r="283" customFormat="false" ht="15" hidden="false" customHeight="false" outlineLevel="0" collapsed="false">
      <c r="A283" s="0" t="str">
        <f aca="false">TEXT(0,"0,0")</f>
        <v>0,0</v>
      </c>
      <c r="B283" s="0" t="s">
        <v>290</v>
      </c>
    </row>
    <row r="284" customFormat="false" ht="15" hidden="false" customHeight="false" outlineLevel="0" collapsed="false">
      <c r="A284" s="0" t="str">
        <f aca="false">TEXT(0.5,"0,0")</f>
        <v>0,5</v>
      </c>
      <c r="B284" s="0" t="s">
        <v>291</v>
      </c>
    </row>
    <row r="285" customFormat="false" ht="15" hidden="false" customHeight="false" outlineLevel="0" collapsed="false">
      <c r="A285" s="0" t="str">
        <f aca="false">TEXT(1000000,"0,0")</f>
        <v>1000000,0</v>
      </c>
      <c r="B285" s="0" t="s">
        <v>292</v>
      </c>
    </row>
    <row r="286" customFormat="false" ht="15" hidden="false" customHeight="false" outlineLevel="0" collapsed="false">
      <c r="A286" s="0" t="str">
        <f aca="false">TEXT(12345678.9,"0,0")</f>
        <v>12345678,9</v>
      </c>
      <c r="B286" s="0" t="s">
        <v>293</v>
      </c>
    </row>
    <row r="287" customFormat="false" ht="15" hidden="false" customHeight="false" outlineLevel="0" collapsed="false">
      <c r="A287" s="0" t="str">
        <f aca="false">TEXT(0.000123,"0,0")</f>
        <v>0,0</v>
      </c>
      <c r="B287" s="0" t="s">
        <v>294</v>
      </c>
    </row>
    <row r="288" customFormat="false" ht="15" hidden="false" customHeight="false" outlineLevel="0" collapsed="false">
      <c r="A288" s="0" t="str">
        <f aca="false">TEXT(1234.5678,"0,000")</f>
        <v>1234,568</v>
      </c>
      <c r="B288" s="0" t="s">
        <v>295</v>
      </c>
    </row>
    <row r="289" customFormat="false" ht="15" hidden="false" customHeight="false" outlineLevel="0" collapsed="false">
      <c r="A289" s="0" t="str">
        <f aca="false">TEXT(-1234.5678,"0,000")</f>
        <v>-1234,568</v>
      </c>
      <c r="B289" s="0" t="s">
        <v>296</v>
      </c>
    </row>
    <row r="290" customFormat="false" ht="15" hidden="false" customHeight="false" outlineLevel="0" collapsed="false">
      <c r="A290" s="0" t="str">
        <f aca="false">TEXT(0,"0,000")</f>
        <v>0,000</v>
      </c>
      <c r="B290" s="0" t="s">
        <v>297</v>
      </c>
    </row>
    <row r="291" customFormat="false" ht="15" hidden="false" customHeight="false" outlineLevel="0" collapsed="false">
      <c r="A291" s="0" t="str">
        <f aca="false">TEXT(0.5,"0,000")</f>
        <v>0,500</v>
      </c>
      <c r="B291" s="0" t="s">
        <v>298</v>
      </c>
    </row>
    <row r="292" customFormat="false" ht="15" hidden="false" customHeight="false" outlineLevel="0" collapsed="false">
      <c r="A292" s="0" t="str">
        <f aca="false">TEXT(1000000,"0,000")</f>
        <v>1000000,000</v>
      </c>
      <c r="B292" s="0" t="s">
        <v>299</v>
      </c>
    </row>
    <row r="293" customFormat="false" ht="15" hidden="false" customHeight="false" outlineLevel="0" collapsed="false">
      <c r="A293" s="0" t="str">
        <f aca="false">TEXT(12345678.9,"0,000")</f>
        <v>12345678,900</v>
      </c>
      <c r="B293" s="0" t="s">
        <v>300</v>
      </c>
    </row>
    <row r="294" customFormat="false" ht="15" hidden="false" customHeight="false" outlineLevel="0" collapsed="false">
      <c r="A294" s="0" t="str">
        <f aca="false">TEXT(0.000123,"0,000")</f>
        <v>0,000</v>
      </c>
      <c r="B294" s="0" t="s">
        <v>301</v>
      </c>
    </row>
    <row r="295" customFormat="false" ht="15" hidden="false" customHeight="false" outlineLevel="0" collapsed="false">
      <c r="A295" s="0" t="str">
        <f aca="false">TEXT(1234.5678,"#,##0.0")</f>
        <v>1.234,5678</v>
      </c>
      <c r="B295" s="0" t="s">
        <v>302</v>
      </c>
    </row>
    <row r="296" customFormat="false" ht="15" hidden="false" customHeight="false" outlineLevel="0" collapsed="false">
      <c r="A296" s="0" t="str">
        <f aca="false">TEXT(-1234.5678,"#,##0.0")</f>
        <v>-1.234,5678</v>
      </c>
      <c r="B296" s="0" t="s">
        <v>303</v>
      </c>
    </row>
    <row r="297" customFormat="false" ht="15" hidden="false" customHeight="false" outlineLevel="0" collapsed="false">
      <c r="A297" s="0" t="str">
        <f aca="false">TEXT(0,"#,##0.0")</f>
        <v>,0000</v>
      </c>
      <c r="B297" s="0" t="s">
        <v>304</v>
      </c>
    </row>
    <row r="298" customFormat="false" ht="15" hidden="false" customHeight="false" outlineLevel="0" collapsed="false">
      <c r="A298" s="0" t="str">
        <f aca="false">TEXT(0.5,"#,##0.0")</f>
        <v>,5000</v>
      </c>
      <c r="B298" s="0" t="s">
        <v>305</v>
      </c>
    </row>
    <row r="299" customFormat="false" ht="15" hidden="false" customHeight="false" outlineLevel="0" collapsed="false">
      <c r="A299" s="0" t="str">
        <f aca="false">TEXT(1000000,"#,##0.0")</f>
        <v>1.000.000,0000</v>
      </c>
      <c r="B299" s="0" t="s">
        <v>306</v>
      </c>
    </row>
    <row r="300" customFormat="false" ht="15" hidden="false" customHeight="false" outlineLevel="0" collapsed="false">
      <c r="A300" s="0" t="str">
        <f aca="false">TEXT(12345678.9,"#,##0.0")</f>
        <v>12.345.678,9000</v>
      </c>
      <c r="B300" s="0" t="s">
        <v>307</v>
      </c>
    </row>
    <row r="301" customFormat="false" ht="15" hidden="false" customHeight="false" outlineLevel="0" collapsed="false">
      <c r="A301" s="0" t="str">
        <f aca="false">TEXT(0.000123,"#,##0.0")</f>
        <v>,0001</v>
      </c>
      <c r="B301" s="0" t="s">
        <v>308</v>
      </c>
    </row>
    <row r="302" customFormat="false" ht="15" hidden="false" customHeight="false" outlineLevel="0" collapsed="false">
      <c r="A302" s="0" t="str">
        <f aca="false">TEXT(1234.5678,"0.0.0")</f>
        <v>1.235</v>
      </c>
      <c r="B302" s="0" t="s">
        <v>309</v>
      </c>
    </row>
    <row r="303" customFormat="false" ht="15" hidden="false" customHeight="false" outlineLevel="0" collapsed="false">
      <c r="A303" s="0" t="str">
        <f aca="false">TEXT(-1234.5678,"0.0.0")</f>
        <v>-1.235</v>
      </c>
      <c r="B303" s="0" t="s">
        <v>310</v>
      </c>
    </row>
    <row r="304" customFormat="false" ht="15" hidden="false" customHeight="false" outlineLevel="0" collapsed="false">
      <c r="A304" s="0" t="str">
        <f aca="false">TEXT(0,"0.0.0")</f>
        <v>000</v>
      </c>
      <c r="B304" s="0" t="s">
        <v>311</v>
      </c>
    </row>
    <row r="305" customFormat="false" ht="15" hidden="false" customHeight="false" outlineLevel="0" collapsed="false">
      <c r="A305" s="0" t="str">
        <f aca="false">TEXT(0.5,"0.0.0")</f>
        <v>001</v>
      </c>
      <c r="B305" s="0" t="s">
        <v>312</v>
      </c>
    </row>
    <row r="306" customFormat="false" ht="15" hidden="false" customHeight="false" outlineLevel="0" collapsed="false">
      <c r="A306" s="0" t="str">
        <f aca="false">TEXT(1000000,"0.0.0")</f>
        <v>1.000.000</v>
      </c>
      <c r="B306" s="0" t="s">
        <v>313</v>
      </c>
    </row>
    <row r="307" customFormat="false" ht="15" hidden="false" customHeight="false" outlineLevel="0" collapsed="false">
      <c r="A307" s="0" t="str">
        <f aca="false">TEXT(12345678.9,"0.0.0")</f>
        <v>12.345.679</v>
      </c>
      <c r="B307" s="0" t="s">
        <v>314</v>
      </c>
    </row>
    <row r="308" customFormat="false" ht="15" hidden="false" customHeight="false" outlineLevel="0" collapsed="false">
      <c r="A308" s="0" t="str">
        <f aca="false">TEXT(0.000123,"0.0.0")</f>
        <v>000</v>
      </c>
      <c r="B308" s="0" t="s">
        <v>315</v>
      </c>
    </row>
    <row r="309" customFormat="false" ht="15" hidden="false" customHeight="false" outlineLevel="0" collapsed="false">
      <c r="A309" s="0" t="str">
        <f aca="false">TEXT(1234.5678,"0,0,0")</f>
        <v>1234,5,7</v>
      </c>
      <c r="B309" s="0" t="s">
        <v>316</v>
      </c>
    </row>
    <row r="310" customFormat="false" ht="15" hidden="false" customHeight="false" outlineLevel="0" collapsed="false">
      <c r="A310" s="0" t="str">
        <f aca="false">TEXT(-1234.5678,"0,0,0")</f>
        <v>-1234,5,7</v>
      </c>
      <c r="B310" s="0" t="s">
        <v>317</v>
      </c>
    </row>
    <row r="311" customFormat="false" ht="15" hidden="false" customHeight="false" outlineLevel="0" collapsed="false">
      <c r="A311" s="0" t="str">
        <f aca="false">TEXT(0,"0,0,0")</f>
        <v>0,0,0</v>
      </c>
      <c r="B311" s="0" t="s">
        <v>318</v>
      </c>
    </row>
    <row r="312" customFormat="false" ht="15" hidden="false" customHeight="false" outlineLevel="0" collapsed="false">
      <c r="A312" s="0" t="str">
        <f aca="false">TEXT(0.5,"0,0,0")</f>
        <v>0,5,0</v>
      </c>
      <c r="B312" s="0" t="s">
        <v>319</v>
      </c>
    </row>
    <row r="313" customFormat="false" ht="15" hidden="false" customHeight="false" outlineLevel="0" collapsed="false">
      <c r="A313" s="0" t="str">
        <f aca="false">TEXT(1000000,"0,0,0")</f>
        <v>1000000,0,0</v>
      </c>
      <c r="B313" s="0" t="s">
        <v>320</v>
      </c>
    </row>
    <row r="314" customFormat="false" ht="15" hidden="false" customHeight="false" outlineLevel="0" collapsed="false">
      <c r="A314" s="0" t="str">
        <f aca="false">TEXT(12345678.9,"0,0,0")</f>
        <v>12345678,9,0</v>
      </c>
      <c r="B314" s="0" t="s">
        <v>321</v>
      </c>
    </row>
    <row r="315" customFormat="false" ht="15" hidden="false" customHeight="false" outlineLevel="0" collapsed="false">
      <c r="A315" s="0" t="str">
        <f aca="false">TEXT(0.000123,"0,0,0")</f>
        <v>0,0,0</v>
      </c>
      <c r="B315" s="0" t="s">
        <v>322</v>
      </c>
    </row>
    <row r="316" customFormat="false" ht="15" hidden="false" customHeight="false" outlineLevel="0" collapsed="false">
      <c r="A316" s="0" t="str">
        <f aca="false">TEXT(1234.5678,"0.00%")</f>
        <v>123456,78%</v>
      </c>
      <c r="B316" s="0" t="s">
        <v>323</v>
      </c>
    </row>
    <row r="317" customFormat="false" ht="15" hidden="false" customHeight="false" outlineLevel="0" collapsed="false">
      <c r="A317" s="0" t="str">
        <f aca="false">TEXT(-1234.5678,"0.00%")</f>
        <v>-123456,78%</v>
      </c>
      <c r="B317" s="0" t="s">
        <v>324</v>
      </c>
    </row>
    <row r="318" customFormat="false" ht="15" hidden="false" customHeight="false" outlineLevel="0" collapsed="false">
      <c r="A318" s="0" t="str">
        <f aca="false">TEXT(0,"0.00%")</f>
        <v>0,00%</v>
      </c>
      <c r="B318" s="0" t="s">
        <v>325</v>
      </c>
    </row>
    <row r="319" customFormat="false" ht="15" hidden="false" customHeight="false" outlineLevel="0" collapsed="false">
      <c r="A319" s="0" t="str">
        <f aca="false">TEXT(0.5,"0.00%")</f>
        <v>50,00%</v>
      </c>
      <c r="B319" s="0" t="s">
        <v>326</v>
      </c>
    </row>
    <row r="320" customFormat="false" ht="15" hidden="false" customHeight="false" outlineLevel="0" collapsed="false">
      <c r="A320" s="0" t="str">
        <f aca="false">TEXT(1000000,"0.00%")</f>
        <v>100000000,00%</v>
      </c>
      <c r="B320" s="0" t="s">
        <v>327</v>
      </c>
    </row>
    <row r="321" customFormat="false" ht="15" hidden="false" customHeight="false" outlineLevel="0" collapsed="false">
      <c r="A321" s="0" t="str">
        <f aca="false">TEXT(12345678.9,"0.00%")</f>
        <v>1234567890,00%</v>
      </c>
      <c r="B321" s="0" t="s">
        <v>328</v>
      </c>
    </row>
    <row r="322" customFormat="false" ht="15" hidden="false" customHeight="false" outlineLevel="0" collapsed="false">
      <c r="A322" s="0" t="str">
        <f aca="false">TEXT(0.000123,"0.00%")</f>
        <v>0,01%</v>
      </c>
      <c r="B322" s="0" t="s">
        <v>329</v>
      </c>
    </row>
    <row r="323" customFormat="false" ht="15" hidden="false" customHeight="false" outlineLevel="0" collapsed="false">
      <c r="A323" s="0" t="str">
        <f aca="false">TEXT(1234.5678,"#,##0.00_);(#,##0.00)")</f>
        <v>1.234,57 </v>
      </c>
      <c r="B323" s="0" t="s">
        <v>330</v>
      </c>
    </row>
    <row r="324" customFormat="false" ht="15" hidden="false" customHeight="false" outlineLevel="0" collapsed="false">
      <c r="A324" s="0" t="str">
        <f aca="false">TEXT(-1234.5678,"#,##0.00_);(#,##0.00)")</f>
        <v>(1.234,57)</v>
      </c>
      <c r="B324" s="0" t="s">
        <v>331</v>
      </c>
    </row>
    <row r="325" customFormat="false" ht="15" hidden="false" customHeight="false" outlineLevel="0" collapsed="false">
      <c r="A325" s="0" t="str">
        <f aca="false">TEXT(0,"#,##0.00_);(#,##0.00)")</f>
        <v>0,00 </v>
      </c>
      <c r="B325" s="0" t="s">
        <v>332</v>
      </c>
    </row>
    <row r="326" customFormat="false" ht="15" hidden="false" customHeight="false" outlineLevel="0" collapsed="false">
      <c r="A326" s="0" t="str">
        <f aca="false">TEXT(0.5,"#,##0.00_);(#,##0.00)")</f>
        <v>0,50 </v>
      </c>
      <c r="B326" s="0" t="s">
        <v>333</v>
      </c>
    </row>
    <row r="327" customFormat="false" ht="15" hidden="false" customHeight="false" outlineLevel="0" collapsed="false">
      <c r="A327" s="0" t="str">
        <f aca="false">TEXT(1000000,"#,##0.00_);(#,##0.00)")</f>
        <v>1.000.000,00 </v>
      </c>
      <c r="B327" s="0" t="s">
        <v>334</v>
      </c>
    </row>
    <row r="328" customFormat="false" ht="15" hidden="false" customHeight="false" outlineLevel="0" collapsed="false">
      <c r="A328" s="0" t="str">
        <f aca="false">TEXT(12345678.9,"#,##0.00_);(#,##0.00)")</f>
        <v>12.345.678,90 </v>
      </c>
      <c r="B328" s="0" t="s">
        <v>335</v>
      </c>
    </row>
    <row r="329" customFormat="false" ht="15" hidden="false" customHeight="false" outlineLevel="0" collapsed="false">
      <c r="A329" s="0" t="str">
        <f aca="false">TEXT(0.000123,"#,##0.00_);(#,##0.00)")</f>
        <v>0,00 </v>
      </c>
      <c r="B329" s="0" t="s">
        <v>336</v>
      </c>
    </row>
    <row r="330" customFormat="false" ht="15" hidden="false" customHeight="false" outlineLevel="0" collapsed="false">
      <c r="A330" s="0" t="str">
        <f aca="false">TEXT(1234.5678,"$#,##0.00")</f>
        <v>$1.234,56780</v>
      </c>
      <c r="B330" s="0" t="s">
        <v>337</v>
      </c>
    </row>
    <row r="331" customFormat="false" ht="15" hidden="false" customHeight="false" outlineLevel="0" collapsed="false">
      <c r="A331" s="0" t="str">
        <f aca="false">TEXT(-1234.5678,"$#,##0.00")</f>
        <v>-$1.234,56780</v>
      </c>
      <c r="B331" s="0" t="s">
        <v>338</v>
      </c>
    </row>
    <row r="332" customFormat="false" ht="15" hidden="false" customHeight="false" outlineLevel="0" collapsed="false">
      <c r="A332" s="0" t="str">
        <f aca="false">TEXT(0,"$#,##0.00")</f>
        <v>$,00000</v>
      </c>
      <c r="B332" s="0" t="s">
        <v>339</v>
      </c>
    </row>
    <row r="333" customFormat="false" ht="15" hidden="false" customHeight="false" outlineLevel="0" collapsed="false">
      <c r="A333" s="0" t="str">
        <f aca="false">TEXT(0.5,"$#,##0.00")</f>
        <v>$,50000</v>
      </c>
      <c r="B333" s="0" t="s">
        <v>340</v>
      </c>
    </row>
    <row r="334" customFormat="false" ht="15" hidden="false" customHeight="false" outlineLevel="0" collapsed="false">
      <c r="A334" s="0" t="str">
        <f aca="false">TEXT(1000000,"$#,##0.00")</f>
        <v>$1.000.000,00000</v>
      </c>
      <c r="B334" s="0" t="s">
        <v>341</v>
      </c>
    </row>
    <row r="335" customFormat="false" ht="15" hidden="false" customHeight="false" outlineLevel="0" collapsed="false">
      <c r="A335" s="0" t="str">
        <f aca="false">TEXT(12345678.9,"$#,##0.00")</f>
        <v>$12.345.678,90000</v>
      </c>
      <c r="B335" s="0" t="s">
        <v>342</v>
      </c>
    </row>
    <row r="336" customFormat="false" ht="15" hidden="false" customHeight="false" outlineLevel="0" collapsed="false">
      <c r="A336" s="0" t="str">
        <f aca="false">TEXT(0.000123,"$#,##0.00")</f>
        <v>$,00012</v>
      </c>
      <c r="B336" s="0" t="s">
        <v>343</v>
      </c>
    </row>
    <row r="337" customFormat="false" ht="15" hidden="false" customHeight="false" outlineLevel="0" collapsed="false">
      <c r="A337" s="0" t="str">
        <f aca="false">TEXT(1234.5678,"#,##0.00;-#,##0.00")</f>
        <v>1.234,56780</v>
      </c>
      <c r="B337" s="0" t="s">
        <v>344</v>
      </c>
    </row>
    <row r="338" customFormat="false" ht="15" hidden="false" customHeight="false" outlineLevel="0" collapsed="false">
      <c r="A338" s="0" t="str">
        <f aca="false">TEXT(-1234.5678,"#,##0.00;-#,##0.00")</f>
        <v>-1.234,56780</v>
      </c>
      <c r="B338" s="0" t="s">
        <v>345</v>
      </c>
    </row>
    <row r="339" customFormat="false" ht="15" hidden="false" customHeight="false" outlineLevel="0" collapsed="false">
      <c r="A339" s="0" t="str">
        <f aca="false">TEXT(0,"#,##0.00;-#,##0.00")</f>
        <v>,00000</v>
      </c>
      <c r="B339" s="0" t="s">
        <v>346</v>
      </c>
    </row>
    <row r="340" customFormat="false" ht="15" hidden="false" customHeight="false" outlineLevel="0" collapsed="false">
      <c r="A340" s="0" t="str">
        <f aca="false">TEXT(0.5,"#,##0.00;-#,##0.00")</f>
        <v>,50000</v>
      </c>
      <c r="B340" s="0" t="s">
        <v>347</v>
      </c>
    </row>
    <row r="341" customFormat="false" ht="15" hidden="false" customHeight="false" outlineLevel="0" collapsed="false">
      <c r="A341" s="0" t="str">
        <f aca="false">TEXT(1000000,"#,##0.00;-#,##0.00")</f>
        <v>1.000.000,00000</v>
      </c>
      <c r="B341" s="0" t="s">
        <v>348</v>
      </c>
    </row>
    <row r="342" customFormat="false" ht="15" hidden="false" customHeight="false" outlineLevel="0" collapsed="false">
      <c r="A342" s="0" t="str">
        <f aca="false">TEXT(12345678.9,"#,##0.00;-#,##0.00")</f>
        <v>12.345.678,90000</v>
      </c>
      <c r="B342" s="0" t="s">
        <v>349</v>
      </c>
    </row>
    <row r="343" customFormat="false" ht="15" hidden="false" customHeight="false" outlineLevel="0" collapsed="false">
      <c r="A343" s="0" t="str">
        <f aca="false">TEXT(0.000123,"#,##0.00;-#,##0.00")</f>
        <v>,00012</v>
      </c>
      <c r="B343" s="0" t="s">
        <v>350</v>
      </c>
    </row>
    <row r="344" customFormat="false" ht="15" hidden="false" customHeight="false" outlineLevel="0" collapsed="false">
      <c r="A344" s="0" t="str">
        <f aca="false">TEXT(1234.5678,"#,##0.000")</f>
        <v>1.234,567800</v>
      </c>
      <c r="B344" s="0" t="s">
        <v>351</v>
      </c>
    </row>
    <row r="345" customFormat="false" ht="15" hidden="false" customHeight="false" outlineLevel="0" collapsed="false">
      <c r="A345" s="0" t="str">
        <f aca="false">TEXT(-1234.5678,"#,##0.000")</f>
        <v>-1.234,567800</v>
      </c>
      <c r="B345" s="0" t="s">
        <v>352</v>
      </c>
    </row>
    <row r="346" customFormat="false" ht="15" hidden="false" customHeight="false" outlineLevel="0" collapsed="false">
      <c r="A346" s="0" t="str">
        <f aca="false">TEXT(0,"#,##0.000")</f>
        <v>,000000</v>
      </c>
      <c r="B346" s="0" t="s">
        <v>353</v>
      </c>
    </row>
    <row r="347" customFormat="false" ht="15" hidden="false" customHeight="false" outlineLevel="0" collapsed="false">
      <c r="A347" s="0" t="str">
        <f aca="false">TEXT(0.5,"#,##0.000")</f>
        <v>,500000</v>
      </c>
      <c r="B347" s="0" t="s">
        <v>354</v>
      </c>
    </row>
    <row r="348" customFormat="false" ht="15" hidden="false" customHeight="false" outlineLevel="0" collapsed="false">
      <c r="A348" s="0" t="str">
        <f aca="false">TEXT(1000000,"#,##0.000")</f>
        <v>1.000.000,000000</v>
      </c>
      <c r="B348" s="0" t="s">
        <v>355</v>
      </c>
    </row>
    <row r="349" customFormat="false" ht="15" hidden="false" customHeight="false" outlineLevel="0" collapsed="false">
      <c r="A349" s="0" t="str">
        <f aca="false">TEXT(12345678.9,"#,##0.000")</f>
        <v>12.345.678,900000</v>
      </c>
      <c r="B349" s="0" t="s">
        <v>356</v>
      </c>
    </row>
    <row r="350" customFormat="false" ht="15" hidden="false" customHeight="false" outlineLevel="0" collapsed="false">
      <c r="A350" s="0" t="str">
        <f aca="false">TEXT(0.000123,"#,##0.000")</f>
        <v>,000123</v>
      </c>
      <c r="B350" s="0" t="s">
        <v>357</v>
      </c>
    </row>
    <row r="351" customFormat="false" ht="15" hidden="false" customHeight="false" outlineLevel="0" collapsed="false">
      <c r="A351" s="0" t="str">
        <f aca="false">TEXT(1234.5678,"0.00 ""x""")</f>
        <v>1.235 x</v>
      </c>
      <c r="B351" s="0" t="s">
        <v>358</v>
      </c>
    </row>
    <row r="352" customFormat="false" ht="15" hidden="false" customHeight="false" outlineLevel="0" collapsed="false">
      <c r="A352" s="0" t="str">
        <f aca="false">TEXT(-1234.5678,"0.00 ""x""")</f>
        <v>-1.235 x</v>
      </c>
      <c r="B352" s="0" t="s">
        <v>359</v>
      </c>
    </row>
    <row r="353" customFormat="false" ht="15" hidden="false" customHeight="false" outlineLevel="0" collapsed="false">
      <c r="A353" s="0" t="str">
        <f aca="false">TEXT(0,"0.00 ""x""")</f>
        <v>000 x</v>
      </c>
      <c r="B353" s="0" t="s">
        <v>360</v>
      </c>
    </row>
    <row r="354" customFormat="false" ht="15" hidden="false" customHeight="false" outlineLevel="0" collapsed="false">
      <c r="A354" s="0" t="str">
        <f aca="false">TEXT(0.5,"0.00 ""x""")</f>
        <v>001 x</v>
      </c>
      <c r="B354" s="0" t="s">
        <v>361</v>
      </c>
    </row>
    <row r="355" customFormat="false" ht="15" hidden="false" customHeight="false" outlineLevel="0" collapsed="false">
      <c r="A355" s="0" t="str">
        <f aca="false">TEXT(1000000,"0.00 ""x""")</f>
        <v>1.000.000 x</v>
      </c>
      <c r="B355" s="0" t="s">
        <v>362</v>
      </c>
    </row>
    <row r="356" customFormat="false" ht="15" hidden="false" customHeight="false" outlineLevel="0" collapsed="false">
      <c r="A356" s="0" t="str">
        <f aca="false">TEXT(12345678.9,"0.00 ""x""")</f>
        <v>12.345.679 x</v>
      </c>
      <c r="B356" s="0" t="s">
        <v>363</v>
      </c>
    </row>
    <row r="357" customFormat="false" ht="15" hidden="false" customHeight="false" outlineLevel="0" collapsed="false">
      <c r="A357" s="0" t="str">
        <f aca="false">TEXT(0.000123,"0.00 ""x""")</f>
        <v>000 x</v>
      </c>
      <c r="B357" s="0" t="s">
        <v>364</v>
      </c>
    </row>
    <row r="358" customFormat="false" ht="15" hidden="false" customHeight="false" outlineLevel="0" collapsed="false">
      <c r="A358" s="0" t="str">
        <f aca="false">TEXT(1234.5678,"0.000%")</f>
        <v>123.457%</v>
      </c>
      <c r="B358" s="0" t="s">
        <v>365</v>
      </c>
    </row>
    <row r="359" customFormat="false" ht="15" hidden="false" customHeight="false" outlineLevel="0" collapsed="false">
      <c r="A359" s="0" t="str">
        <f aca="false">TEXT(-1234.5678,"0.000%")</f>
        <v>-123.457%</v>
      </c>
      <c r="B359" s="0" t="s">
        <v>366</v>
      </c>
    </row>
    <row r="360" customFormat="false" ht="15" hidden="false" customHeight="false" outlineLevel="0" collapsed="false">
      <c r="A360" s="0" t="str">
        <f aca="false">TEXT(0,"0.000%")</f>
        <v>0.000%</v>
      </c>
      <c r="B360" s="0" t="s">
        <v>367</v>
      </c>
    </row>
    <row r="361" customFormat="false" ht="15" hidden="false" customHeight="false" outlineLevel="0" collapsed="false">
      <c r="A361" s="0" t="str">
        <f aca="false">TEXT(0.5,"0.000%")</f>
        <v>0.050%</v>
      </c>
      <c r="B361" s="0" t="s">
        <v>368</v>
      </c>
    </row>
    <row r="362" customFormat="false" ht="15" hidden="false" customHeight="false" outlineLevel="0" collapsed="false">
      <c r="A362" s="0" t="str">
        <f aca="false">TEXT(1000000,"0.000%")</f>
        <v>100.000.000%</v>
      </c>
      <c r="B362" s="0" t="s">
        <v>369</v>
      </c>
    </row>
    <row r="363" customFormat="false" ht="15" hidden="false" customHeight="false" outlineLevel="0" collapsed="false">
      <c r="A363" s="0" t="str">
        <f aca="false">TEXT(12345678.9,"0.000%")</f>
        <v>1.234.567.890%</v>
      </c>
      <c r="B363" s="0" t="s">
        <v>370</v>
      </c>
    </row>
    <row r="364" customFormat="false" ht="15" hidden="false" customHeight="false" outlineLevel="0" collapsed="false">
      <c r="A364" s="0" t="str">
        <f aca="false">TEXT(0.000123,"0.000%")</f>
        <v>0.000%</v>
      </c>
      <c r="B364" s="0" t="s">
        <v>371</v>
      </c>
    </row>
    <row r="365" customFormat="false" ht="15" hidden="false" customHeight="false" outlineLevel="0" collapsed="false">
      <c r="A365" s="0" t="str">
        <f aca="false">TEXT(1234.5678,"0.0000")</f>
        <v>01.235</v>
      </c>
      <c r="B365" s="0" t="s">
        <v>372</v>
      </c>
    </row>
    <row r="366" customFormat="false" ht="15" hidden="false" customHeight="false" outlineLevel="0" collapsed="false">
      <c r="A366" s="0" t="str">
        <f aca="false">TEXT(-1234.5678,"0.0000")</f>
        <v>-01.235</v>
      </c>
      <c r="B366" s="0" t="s">
        <v>373</v>
      </c>
    </row>
    <row r="367" customFormat="false" ht="15" hidden="false" customHeight="false" outlineLevel="0" collapsed="false">
      <c r="A367" s="0" t="str">
        <f aca="false">TEXT(0,"0.0000")</f>
        <v>00.000</v>
      </c>
      <c r="B367" s="0" t="s">
        <v>374</v>
      </c>
    </row>
    <row r="368" customFormat="false" ht="15" hidden="false" customHeight="false" outlineLevel="0" collapsed="false">
      <c r="A368" s="0" t="str">
        <f aca="false">TEXT(0.5,"0.0000")</f>
        <v>00.001</v>
      </c>
      <c r="B368" s="0" t="s">
        <v>375</v>
      </c>
    </row>
    <row r="369" customFormat="false" ht="15" hidden="false" customHeight="false" outlineLevel="0" collapsed="false">
      <c r="A369" s="0" t="str">
        <f aca="false">TEXT(1000000,"0.0000")</f>
        <v>1.000.000</v>
      </c>
      <c r="B369" s="0" t="s">
        <v>376</v>
      </c>
    </row>
    <row r="370" customFormat="false" ht="15" hidden="false" customHeight="false" outlineLevel="0" collapsed="false">
      <c r="A370" s="0" t="str">
        <f aca="false">TEXT(12345678.9,"0.0000")</f>
        <v>12.345.679</v>
      </c>
      <c r="B370" s="0" t="s">
        <v>377</v>
      </c>
    </row>
    <row r="371" customFormat="false" ht="15" hidden="false" customHeight="false" outlineLevel="0" collapsed="false">
      <c r="A371" s="0" t="str">
        <f aca="false">TEXT(0.000123,"0.0000")</f>
        <v>00.000</v>
      </c>
      <c r="B371" s="0" t="s">
        <v>378</v>
      </c>
    </row>
    <row r="372" customFormat="false" ht="15" hidden="false" customHeight="false" outlineLevel="0" collapsed="false">
      <c r="A372" s="0" t="str">
        <f aca="false">TEXT(1234.5678,"0.00;0.00")</f>
        <v>1.235</v>
      </c>
      <c r="B372" s="0" t="s">
        <v>379</v>
      </c>
    </row>
    <row r="373" customFormat="false" ht="15" hidden="false" customHeight="false" outlineLevel="0" collapsed="false">
      <c r="A373" s="0" t="str">
        <f aca="false">TEXT(-1234.5678,"0.00;0.00")</f>
        <v>1.235</v>
      </c>
      <c r="B373" s="0" t="s">
        <v>380</v>
      </c>
    </row>
    <row r="374" customFormat="false" ht="15" hidden="false" customHeight="false" outlineLevel="0" collapsed="false">
      <c r="A374" s="0" t="str">
        <f aca="false">TEXT(0,"0.00;0.00")</f>
        <v>000</v>
      </c>
      <c r="B374" s="0" t="s">
        <v>381</v>
      </c>
    </row>
    <row r="375" customFormat="false" ht="15" hidden="false" customHeight="false" outlineLevel="0" collapsed="false">
      <c r="A375" s="0" t="str">
        <f aca="false">TEXT(0.5,"0.00;0.00")</f>
        <v>001</v>
      </c>
      <c r="B375" s="0" t="s">
        <v>382</v>
      </c>
    </row>
    <row r="376" customFormat="false" ht="15" hidden="false" customHeight="false" outlineLevel="0" collapsed="false">
      <c r="A376" s="0" t="str">
        <f aca="false">TEXT(1000000,"0.00;0.00")</f>
        <v>1.000.000</v>
      </c>
      <c r="B376" s="0" t="s">
        <v>383</v>
      </c>
    </row>
    <row r="377" customFormat="false" ht="15" hidden="false" customHeight="false" outlineLevel="0" collapsed="false">
      <c r="A377" s="0" t="str">
        <f aca="false">TEXT(12345678.9,"0.00;0.00")</f>
        <v>12.345.679</v>
      </c>
      <c r="B377" s="0" t="s">
        <v>384</v>
      </c>
    </row>
    <row r="378" customFormat="false" ht="15" hidden="false" customHeight="false" outlineLevel="0" collapsed="false">
      <c r="A378" s="0" t="str">
        <f aca="false">TEXT(0.000123,"0.00;0.00")</f>
        <v>000</v>
      </c>
      <c r="B378" s="0" t="s">
        <v>385</v>
      </c>
    </row>
    <row r="379" customFormat="false" ht="15" hidden="false" customHeight="false" outlineLevel="0" collapsed="false">
      <c r="A379" s="0" t="str">
        <f aca="false">TEXT(1234.5678,"#,##0.00;[Red](#,##0.00)")</f>
        <v>1.234,56780</v>
      </c>
      <c r="B379" s="0" t="s">
        <v>386</v>
      </c>
    </row>
    <row r="380" customFormat="false" ht="15" hidden="false" customHeight="false" outlineLevel="0" collapsed="false">
      <c r="A380" s="0" t="str">
        <f aca="false">TEXT(-1234.5678,"#,##0.00;[Red](#,##0.00)")</f>
        <v>(1.234,56780)</v>
      </c>
      <c r="B380" s="0" t="s">
        <v>387</v>
      </c>
    </row>
    <row r="381" customFormat="false" ht="15" hidden="false" customHeight="false" outlineLevel="0" collapsed="false">
      <c r="A381" s="0" t="str">
        <f aca="false">TEXT(0,"#,##0.00;[Red](#,##0.00)")</f>
        <v>,00000</v>
      </c>
      <c r="B381" s="0" t="s">
        <v>388</v>
      </c>
    </row>
    <row r="382" customFormat="false" ht="15" hidden="false" customHeight="false" outlineLevel="0" collapsed="false">
      <c r="A382" s="0" t="str">
        <f aca="false">TEXT(0.5,"#,##0.00;[Red](#,##0.00)")</f>
        <v>,50000</v>
      </c>
      <c r="B382" s="0" t="s">
        <v>389</v>
      </c>
    </row>
    <row r="383" customFormat="false" ht="15" hidden="false" customHeight="false" outlineLevel="0" collapsed="false">
      <c r="A383" s="0" t="str">
        <f aca="false">TEXT(1000000,"#,##0.00;[Red](#,##0.00)")</f>
        <v>1.000.000,00000</v>
      </c>
      <c r="B383" s="0" t="s">
        <v>390</v>
      </c>
    </row>
    <row r="384" customFormat="false" ht="15" hidden="false" customHeight="false" outlineLevel="0" collapsed="false">
      <c r="A384" s="0" t="str">
        <f aca="false">TEXT(12345678.9,"#,##0.00;[Red](#,##0.00)")</f>
        <v>12.345.678,90000</v>
      </c>
      <c r="B384" s="0" t="s">
        <v>391</v>
      </c>
    </row>
    <row r="385" customFormat="false" ht="15" hidden="false" customHeight="false" outlineLevel="0" collapsed="false">
      <c r="A385" s="0" t="str">
        <f aca="false">TEXT(0.000123,"#,##0.00;[Red](#,##0.00)")</f>
        <v>,00012</v>
      </c>
      <c r="B385" s="0" t="s">
        <v>392</v>
      </c>
    </row>
    <row r="386" customFormat="false" ht="15" hidden="false" customHeight="false" outlineLevel="0" collapsed="false">
      <c r="A386" s="0" t="str">
        <f aca="false">TEXT(1234.5678,"0.00E+000")</f>
        <v>1,23E+003</v>
      </c>
      <c r="B386" s="0" t="s">
        <v>393</v>
      </c>
    </row>
    <row r="387" customFormat="false" ht="15" hidden="false" customHeight="false" outlineLevel="0" collapsed="false">
      <c r="A387" s="0" t="str">
        <f aca="false">TEXT(-1234.5678,"0.00E+000")</f>
        <v>-1,23E+003</v>
      </c>
      <c r="B387" s="0" t="s">
        <v>394</v>
      </c>
    </row>
    <row r="388" customFormat="false" ht="15" hidden="false" customHeight="false" outlineLevel="0" collapsed="false">
      <c r="A388" s="0" t="str">
        <f aca="false">TEXT(0,"0.00E+000")</f>
        <v>0,00E+000</v>
      </c>
      <c r="B388" s="0" t="s">
        <v>395</v>
      </c>
    </row>
    <row r="389" customFormat="false" ht="15" hidden="false" customHeight="false" outlineLevel="0" collapsed="false">
      <c r="A389" s="0" t="str">
        <f aca="false">TEXT(0.5,"0.00E+000")</f>
        <v>5,00E-001</v>
      </c>
      <c r="B389" s="0" t="s">
        <v>396</v>
      </c>
    </row>
    <row r="390" customFormat="false" ht="15" hidden="false" customHeight="false" outlineLevel="0" collapsed="false">
      <c r="A390" s="0" t="str">
        <f aca="false">TEXT(1000000,"0.00E+000")</f>
        <v>1,00E+006</v>
      </c>
      <c r="B390" s="0" t="s">
        <v>397</v>
      </c>
    </row>
    <row r="391" customFormat="false" ht="15" hidden="false" customHeight="false" outlineLevel="0" collapsed="false">
      <c r="A391" s="0" t="str">
        <f aca="false">TEXT(12345678.9,"0.00E+000")</f>
        <v>1,23E+007</v>
      </c>
      <c r="B391" s="0" t="s">
        <v>398</v>
      </c>
    </row>
    <row r="392" customFormat="false" ht="15" hidden="false" customHeight="false" outlineLevel="0" collapsed="false">
      <c r="A392" s="0" t="str">
        <f aca="false">TEXT(0.000123,"0.00E+000")</f>
        <v>1,23E-004</v>
      </c>
      <c r="B392" s="0" t="s">
        <v>399</v>
      </c>
    </row>
    <row r="393" customFormat="false" ht="15" hidden="false" customHeight="false" outlineLevel="0" collapsed="false">
      <c r="A393" s="0" t="str">
        <f aca="false">TEXT(1234.5678,"0.000E+00")</f>
        <v>1.235E+00</v>
      </c>
      <c r="B393" s="0" t="s">
        <v>400</v>
      </c>
    </row>
    <row r="394" customFormat="false" ht="15" hidden="false" customHeight="false" outlineLevel="0" collapsed="false">
      <c r="A394" s="0" t="str">
        <f aca="false">TEXT(-1234.5678,"0.000E+00")</f>
        <v>-1.235E+00</v>
      </c>
      <c r="B394" s="0" t="s">
        <v>401</v>
      </c>
    </row>
    <row r="395" customFormat="false" ht="15" hidden="false" customHeight="false" outlineLevel="0" collapsed="false">
      <c r="A395" s="0" t="str">
        <f aca="false">TEXT(0,"0.000E+00")</f>
        <v>0.000E+00</v>
      </c>
      <c r="B395" s="0" t="s">
        <v>402</v>
      </c>
    </row>
    <row r="396" customFormat="false" ht="15" hidden="false" customHeight="false" outlineLevel="0" collapsed="false">
      <c r="A396" s="0" t="str">
        <f aca="false">TEXT(0.5,"0.000E+00")</f>
        <v>5.000E-04</v>
      </c>
      <c r="B396" s="0" t="s">
        <v>403</v>
      </c>
    </row>
    <row r="397" customFormat="false" ht="15" hidden="false" customHeight="false" outlineLevel="0" collapsed="false">
      <c r="A397" s="0" t="str">
        <f aca="false">TEXT(1000000,"0.000E+00")</f>
        <v>0.100E+04</v>
      </c>
      <c r="B397" s="0" t="s">
        <v>404</v>
      </c>
    </row>
    <row r="398" customFormat="false" ht="15" hidden="false" customHeight="false" outlineLevel="0" collapsed="false">
      <c r="A398" s="0" t="str">
        <f aca="false">TEXT(12345678.9,"0.000E+00")</f>
        <v>1.235E+04</v>
      </c>
      <c r="B398" s="0" t="s">
        <v>405</v>
      </c>
    </row>
    <row r="399" customFormat="false" ht="15" hidden="false" customHeight="false" outlineLevel="0" collapsed="false">
      <c r="A399" s="0" t="str">
        <f aca="false">TEXT(0.000123,"0.000E+00")</f>
        <v>0.001E-04</v>
      </c>
      <c r="B399" s="0" t="s">
        <v>406</v>
      </c>
    </row>
    <row r="400" customFormat="false" ht="15" hidden="false" customHeight="false" outlineLevel="0" collapsed="false">
      <c r="A400" s="0" t="str">
        <f aca="false">TEXT(1234.5678,"#,##0.00E+00")</f>
        <v>1,23457E+03</v>
      </c>
      <c r="B400" s="0" t="s">
        <v>407</v>
      </c>
    </row>
    <row r="401" customFormat="false" ht="15" hidden="false" customHeight="false" outlineLevel="0" collapsed="false">
      <c r="A401" s="0" t="str">
        <f aca="false">TEXT(-1234.5678,"#,##0.00E+00")</f>
        <v>-1,23457E+03</v>
      </c>
      <c r="B401" s="0" t="s">
        <v>408</v>
      </c>
    </row>
    <row r="402" customFormat="false" ht="15" hidden="false" customHeight="false" outlineLevel="0" collapsed="false">
      <c r="A402" s="0" t="str">
        <f aca="false">TEXT(0,"#,##0.00E+00")</f>
        <v>0,00000E+00</v>
      </c>
      <c r="B402" s="0" t="s">
        <v>409</v>
      </c>
    </row>
    <row r="403" customFormat="false" ht="15" hidden="false" customHeight="false" outlineLevel="0" collapsed="false">
      <c r="A403" s="0" t="str">
        <f aca="false">TEXT(0.5,"#,##0.00E+00")</f>
        <v>5,00000E-01</v>
      </c>
      <c r="B403" s="0" t="s">
        <v>410</v>
      </c>
    </row>
    <row r="404" customFormat="false" ht="15" hidden="false" customHeight="false" outlineLevel="0" collapsed="false">
      <c r="A404" s="0" t="str">
        <f aca="false">TEXT(1000000,"#,##0.00E+00")</f>
        <v>1,00000E+06</v>
      </c>
      <c r="B404" s="0" t="s">
        <v>411</v>
      </c>
    </row>
    <row r="405" customFormat="false" ht="15" hidden="false" customHeight="false" outlineLevel="0" collapsed="false">
      <c r="A405" s="0" t="str">
        <f aca="false">TEXT(12345678.9,"#,##0.00E+00")</f>
        <v>1,23457E+07</v>
      </c>
      <c r="B405" s="0" t="s">
        <v>412</v>
      </c>
    </row>
    <row r="406" customFormat="false" ht="15" hidden="false" customHeight="false" outlineLevel="0" collapsed="false">
      <c r="A406" s="0" t="str">
        <f aca="false">TEXT(0.000123,"#,##0.00E+00")</f>
        <v>1,23000E-04</v>
      </c>
      <c r="B406" s="0" t="s">
        <v>413</v>
      </c>
    </row>
    <row r="407" customFormat="false" ht="15" hidden="false" customHeight="false" outlineLevel="0" collapsed="false">
      <c r="A407" s="0" t="str">
        <f aca="false">TEXT(45292.5,"yyyy-mm-dd")</f>
        <v>2024-01-01</v>
      </c>
      <c r="B407" s="0" t="s">
        <v>414</v>
      </c>
    </row>
    <row r="408" customFormat="false" ht="15" hidden="false" customHeight="false" outlineLevel="0" collapsed="false">
      <c r="A408" s="0" t="str">
        <f aca="false">TEXT(45658.75123,"yyyy-mm-dd")</f>
        <v>2025-01-01</v>
      </c>
      <c r="B408" s="0" t="s">
        <v>415</v>
      </c>
    </row>
    <row r="409" customFormat="false" ht="15" hidden="false" customHeight="false" outlineLevel="0" collapsed="false">
      <c r="A409" s="0" t="str">
        <f aca="false">TEXT(0.5,"yyyy-mm-dd")</f>
        <v>1899-12-30</v>
      </c>
      <c r="B409" s="0" t="s">
        <v>416</v>
      </c>
    </row>
    <row r="410" customFormat="false" ht="15" hidden="false" customHeight="false" outlineLevel="0" collapsed="false">
      <c r="A410" s="0" t="str">
        <f aca="false">TEXT(1.999,"yyyy-mm-dd")</f>
        <v>1899-12-31</v>
      </c>
      <c r="B410" s="0" t="s">
        <v>417</v>
      </c>
    </row>
    <row r="411" customFormat="false" ht="15" hidden="false" customHeight="false" outlineLevel="0" collapsed="false">
      <c r="A411" s="0" t="str">
        <f aca="false">TEXT(61,"yyyy-mm-dd")</f>
        <v>1900-03-01</v>
      </c>
      <c r="B411" s="0" t="s">
        <v>418</v>
      </c>
    </row>
    <row r="412" customFormat="false" ht="15" hidden="false" customHeight="false" outlineLevel="0" collapsed="false">
      <c r="A412" s="0" t="str">
        <f aca="false">TEXT(36526.12345,"yyyy-mm-dd")</f>
        <v>2000-01-01</v>
      </c>
      <c r="B412" s="0" t="s">
        <v>419</v>
      </c>
    </row>
    <row r="413" customFormat="false" ht="15" hidden="false" customHeight="false" outlineLevel="0" collapsed="false">
      <c r="A413" s="0" t="str">
        <f aca="false">TEXT(0.999999,"yyyy-mm-dd")</f>
        <v>1899-12-30</v>
      </c>
      <c r="B413" s="0" t="s">
        <v>420</v>
      </c>
    </row>
    <row r="414" customFormat="false" ht="15" hidden="false" customHeight="false" outlineLevel="0" collapsed="false">
      <c r="A414" s="0" t="str">
        <f aca="false">TEXT(-1.5,"yyyy-mm-dd")</f>
        <v>1899-12-28</v>
      </c>
      <c r="B414" s="0" t="s">
        <v>421</v>
      </c>
    </row>
    <row r="415" customFormat="false" ht="15" hidden="false" customHeight="false" outlineLevel="0" collapsed="false">
      <c r="A415" s="0" t="str">
        <f aca="false">TEXT(45292.5,"dd/mm/yyyy")</f>
        <v>01/01/2024</v>
      </c>
      <c r="B415" s="0" t="s">
        <v>422</v>
      </c>
    </row>
    <row r="416" customFormat="false" ht="15" hidden="false" customHeight="false" outlineLevel="0" collapsed="false">
      <c r="A416" s="0" t="str">
        <f aca="false">TEXT(45658.75123,"dd/mm/yyyy")</f>
        <v>01/01/2025</v>
      </c>
      <c r="B416" s="0" t="s">
        <v>423</v>
      </c>
    </row>
    <row r="417" customFormat="false" ht="15" hidden="false" customHeight="false" outlineLevel="0" collapsed="false">
      <c r="A417" s="0" t="str">
        <f aca="false">TEXT(0.5,"dd/mm/yyyy")</f>
        <v>30/12/1899</v>
      </c>
      <c r="B417" s="0" t="s">
        <v>424</v>
      </c>
    </row>
    <row r="418" customFormat="false" ht="15" hidden="false" customHeight="false" outlineLevel="0" collapsed="false">
      <c r="A418" s="0" t="str">
        <f aca="false">TEXT(1.999,"dd/mm/yyyy")</f>
        <v>31/12/1899</v>
      </c>
      <c r="B418" s="0" t="s">
        <v>425</v>
      </c>
    </row>
    <row r="419" customFormat="false" ht="15" hidden="false" customHeight="false" outlineLevel="0" collapsed="false">
      <c r="A419" s="0" t="str">
        <f aca="false">TEXT(61,"dd/mm/yyyy")</f>
        <v>01/03/1900</v>
      </c>
      <c r="B419" s="0" t="s">
        <v>426</v>
      </c>
    </row>
    <row r="420" customFormat="false" ht="15" hidden="false" customHeight="false" outlineLevel="0" collapsed="false">
      <c r="A420" s="0" t="str">
        <f aca="false">TEXT(36526.12345,"dd/mm/yyyy")</f>
        <v>01/01/2000</v>
      </c>
      <c r="B420" s="0" t="s">
        <v>427</v>
      </c>
    </row>
    <row r="421" customFormat="false" ht="15" hidden="false" customHeight="false" outlineLevel="0" collapsed="false">
      <c r="A421" s="0" t="str">
        <f aca="false">TEXT(0.999999,"dd/mm/yyyy")</f>
        <v>30/12/1899</v>
      </c>
      <c r="B421" s="0" t="s">
        <v>428</v>
      </c>
    </row>
    <row r="422" customFormat="false" ht="15" hidden="false" customHeight="false" outlineLevel="0" collapsed="false">
      <c r="A422" s="0" t="str">
        <f aca="false">TEXT(-1.5,"dd/mm/yyyy")</f>
        <v>28/12/1899</v>
      </c>
      <c r="B422" s="0" t="s">
        <v>429</v>
      </c>
    </row>
    <row r="423" customFormat="false" ht="15" hidden="false" customHeight="false" outlineLevel="0" collapsed="false">
      <c r="A423" s="0" t="str">
        <f aca="false">TEXT(45292.5,"d-mmm-yy")</f>
        <v>1-ene-24</v>
      </c>
      <c r="B423" s="0" t="s">
        <v>430</v>
      </c>
    </row>
    <row r="424" customFormat="false" ht="15" hidden="false" customHeight="false" outlineLevel="0" collapsed="false">
      <c r="A424" s="0" t="str">
        <f aca="false">TEXT(45658.75123,"d-mmm-yy")</f>
        <v>1-ene-25</v>
      </c>
      <c r="B424" s="0" t="s">
        <v>431</v>
      </c>
    </row>
    <row r="425" customFormat="false" ht="15" hidden="false" customHeight="false" outlineLevel="0" collapsed="false">
      <c r="A425" s="0" t="str">
        <f aca="false">TEXT(0.5,"d-mmm-yy")</f>
        <v>30-dic-99</v>
      </c>
      <c r="B425" s="0" t="s">
        <v>432</v>
      </c>
    </row>
    <row r="426" customFormat="false" ht="15" hidden="false" customHeight="false" outlineLevel="0" collapsed="false">
      <c r="A426" s="0" t="str">
        <f aca="false">TEXT(1.999,"d-mmm-yy")</f>
        <v>31-dic-99</v>
      </c>
      <c r="B426" s="0" t="s">
        <v>433</v>
      </c>
    </row>
    <row r="427" customFormat="false" ht="15" hidden="false" customHeight="false" outlineLevel="0" collapsed="false">
      <c r="A427" s="0" t="str">
        <f aca="false">TEXT(61,"d-mmm-yy")</f>
        <v>1-mar-00</v>
      </c>
      <c r="B427" s="0" t="s">
        <v>434</v>
      </c>
    </row>
    <row r="428" customFormat="false" ht="15" hidden="false" customHeight="false" outlineLevel="0" collapsed="false">
      <c r="A428" s="0" t="str">
        <f aca="false">TEXT(36526.12345,"d-mmm-yy")</f>
        <v>1-ene-00</v>
      </c>
      <c r="B428" s="0" t="s">
        <v>435</v>
      </c>
    </row>
    <row r="429" customFormat="false" ht="15" hidden="false" customHeight="false" outlineLevel="0" collapsed="false">
      <c r="A429" s="0" t="str">
        <f aca="false">TEXT(0.999999,"d-mmm-yy")</f>
        <v>30-dic-99</v>
      </c>
      <c r="B429" s="0" t="s">
        <v>436</v>
      </c>
    </row>
    <row r="430" customFormat="false" ht="15" hidden="false" customHeight="false" outlineLevel="0" collapsed="false">
      <c r="A430" s="0" t="str">
        <f aca="false">TEXT(-1.5,"d-mmm-yy")</f>
        <v>28-dic-99</v>
      </c>
      <c r="B430" s="0" t="s">
        <v>437</v>
      </c>
    </row>
    <row r="431" customFormat="false" ht="15" hidden="false" customHeight="false" outlineLevel="0" collapsed="false">
      <c r="A431" s="0" t="str">
        <f aca="false">TEXT(45292.5,"mmmm")</f>
        <v>enero</v>
      </c>
      <c r="B431" s="0" t="s">
        <v>438</v>
      </c>
    </row>
    <row r="432" customFormat="false" ht="15" hidden="false" customHeight="false" outlineLevel="0" collapsed="false">
      <c r="A432" s="0" t="str">
        <f aca="false">TEXT(45658.75123,"mmmm")</f>
        <v>enero</v>
      </c>
      <c r="B432" s="0" t="s">
        <v>439</v>
      </c>
    </row>
    <row r="433" customFormat="false" ht="15" hidden="false" customHeight="false" outlineLevel="0" collapsed="false">
      <c r="A433" s="0" t="str">
        <f aca="false">TEXT(0.5,"mmmm")</f>
        <v>diciembre</v>
      </c>
      <c r="B433" s="0" t="s">
        <v>440</v>
      </c>
    </row>
    <row r="434" customFormat="false" ht="15" hidden="false" customHeight="false" outlineLevel="0" collapsed="false">
      <c r="A434" s="0" t="str">
        <f aca="false">TEXT(1.999,"mmmm")</f>
        <v>diciembre</v>
      </c>
      <c r="B434" s="0" t="s">
        <v>441</v>
      </c>
    </row>
    <row r="435" customFormat="false" ht="15" hidden="false" customHeight="false" outlineLevel="0" collapsed="false">
      <c r="A435" s="0" t="str">
        <f aca="false">TEXT(61,"mmmm")</f>
        <v>marzo</v>
      </c>
      <c r="B435" s="0" t="s">
        <v>442</v>
      </c>
    </row>
    <row r="436" customFormat="false" ht="15" hidden="false" customHeight="false" outlineLevel="0" collapsed="false">
      <c r="A436" s="0" t="str">
        <f aca="false">TEXT(36526.12345,"mmmm")</f>
        <v>enero</v>
      </c>
      <c r="B436" s="0" t="s">
        <v>443</v>
      </c>
    </row>
    <row r="437" customFormat="false" ht="15" hidden="false" customHeight="false" outlineLevel="0" collapsed="false">
      <c r="A437" s="0" t="str">
        <f aca="false">TEXT(0.999999,"mmmm")</f>
        <v>diciembre</v>
      </c>
      <c r="B437" s="0" t="s">
        <v>444</v>
      </c>
    </row>
    <row r="438" customFormat="false" ht="15" hidden="false" customHeight="false" outlineLevel="0" collapsed="false">
      <c r="A438" s="0" t="str">
        <f aca="false">TEXT(-1.5,"mmmm")</f>
        <v>diciembre</v>
      </c>
      <c r="B438" s="0" t="s">
        <v>445</v>
      </c>
    </row>
    <row r="439" customFormat="false" ht="15" hidden="false" customHeight="false" outlineLevel="0" collapsed="false">
      <c r="A439" s="0" t="str">
        <f aca="false">TEXT(45292.5,"mmm")</f>
        <v>ene</v>
      </c>
      <c r="B439" s="0" t="s">
        <v>446</v>
      </c>
    </row>
    <row r="440" customFormat="false" ht="15" hidden="false" customHeight="false" outlineLevel="0" collapsed="false">
      <c r="A440" s="0" t="str">
        <f aca="false">TEXT(45658.75123,"mmm")</f>
        <v>ene</v>
      </c>
      <c r="B440" s="0" t="s">
        <v>447</v>
      </c>
    </row>
    <row r="441" customFormat="false" ht="15" hidden="false" customHeight="false" outlineLevel="0" collapsed="false">
      <c r="A441" s="0" t="str">
        <f aca="false">TEXT(0.5,"mmm")</f>
        <v>dic</v>
      </c>
      <c r="B441" s="0" t="s">
        <v>448</v>
      </c>
    </row>
    <row r="442" customFormat="false" ht="15" hidden="false" customHeight="false" outlineLevel="0" collapsed="false">
      <c r="A442" s="0" t="str">
        <f aca="false">TEXT(1.999,"mmm")</f>
        <v>dic</v>
      </c>
      <c r="B442" s="0" t="s">
        <v>449</v>
      </c>
    </row>
    <row r="443" customFormat="false" ht="15" hidden="false" customHeight="false" outlineLevel="0" collapsed="false">
      <c r="A443" s="0" t="str">
        <f aca="false">TEXT(61,"mmm")</f>
        <v>mar</v>
      </c>
      <c r="B443" s="0" t="s">
        <v>450</v>
      </c>
    </row>
    <row r="444" customFormat="false" ht="15" hidden="false" customHeight="false" outlineLevel="0" collapsed="false">
      <c r="A444" s="0" t="str">
        <f aca="false">TEXT(36526.12345,"mmm")</f>
        <v>ene</v>
      </c>
      <c r="B444" s="0" t="s">
        <v>451</v>
      </c>
    </row>
    <row r="445" customFormat="false" ht="15" hidden="false" customHeight="false" outlineLevel="0" collapsed="false">
      <c r="A445" s="0" t="str">
        <f aca="false">TEXT(0.999999,"mmm")</f>
        <v>dic</v>
      </c>
      <c r="B445" s="0" t="s">
        <v>452</v>
      </c>
    </row>
    <row r="446" customFormat="false" ht="15" hidden="false" customHeight="false" outlineLevel="0" collapsed="false">
      <c r="A446" s="0" t="str">
        <f aca="false">TEXT(-1.5,"mmm")</f>
        <v>dic</v>
      </c>
      <c r="B446" s="0" t="s">
        <v>453</v>
      </c>
    </row>
    <row r="447" customFormat="false" ht="15" hidden="false" customHeight="false" outlineLevel="0" collapsed="false">
      <c r="A447" s="0" t="str">
        <f aca="false">TEXT(45292.5,"dddd")</f>
        <v>lunes</v>
      </c>
      <c r="B447" s="0" t="s">
        <v>454</v>
      </c>
    </row>
    <row r="448" customFormat="false" ht="15" hidden="false" customHeight="false" outlineLevel="0" collapsed="false">
      <c r="A448" s="0" t="str">
        <f aca="false">TEXT(45658.75123,"dddd")</f>
        <v>miércoles</v>
      </c>
      <c r="B448" s="0" t="s">
        <v>455</v>
      </c>
    </row>
    <row r="449" customFormat="false" ht="15" hidden="false" customHeight="false" outlineLevel="0" collapsed="false">
      <c r="A449" s="0" t="str">
        <f aca="false">TEXT(0.5,"dddd")</f>
        <v>sábado</v>
      </c>
      <c r="B449" s="0" t="s">
        <v>456</v>
      </c>
    </row>
    <row r="450" customFormat="false" ht="15" hidden="false" customHeight="false" outlineLevel="0" collapsed="false">
      <c r="A450" s="0" t="str">
        <f aca="false">TEXT(1.999,"dddd")</f>
        <v>domingo</v>
      </c>
      <c r="B450" s="0" t="s">
        <v>457</v>
      </c>
    </row>
    <row r="451" customFormat="false" ht="15" hidden="false" customHeight="false" outlineLevel="0" collapsed="false">
      <c r="A451" s="0" t="str">
        <f aca="false">TEXT(61,"dddd")</f>
        <v>jueves</v>
      </c>
      <c r="B451" s="0" t="s">
        <v>458</v>
      </c>
    </row>
    <row r="452" customFormat="false" ht="15" hidden="false" customHeight="false" outlineLevel="0" collapsed="false">
      <c r="A452" s="0" t="str">
        <f aca="false">TEXT(36526.12345,"dddd")</f>
        <v>sábado</v>
      </c>
      <c r="B452" s="0" t="s">
        <v>459</v>
      </c>
    </row>
    <row r="453" customFormat="false" ht="15" hidden="false" customHeight="false" outlineLevel="0" collapsed="false">
      <c r="A453" s="0" t="str">
        <f aca="false">TEXT(0.999999,"dddd")</f>
        <v>sábado</v>
      </c>
      <c r="B453" s="0" t="s">
        <v>460</v>
      </c>
    </row>
    <row r="454" customFormat="false" ht="15" hidden="false" customHeight="false" outlineLevel="0" collapsed="false">
      <c r="A454" s="0" t="str">
        <f aca="false">TEXT(-1.5,"dddd")</f>
        <v>jueves</v>
      </c>
      <c r="B454" s="0" t="s">
        <v>461</v>
      </c>
    </row>
    <row r="455" customFormat="false" ht="15" hidden="false" customHeight="false" outlineLevel="0" collapsed="false">
      <c r="A455" s="0" t="str">
        <f aca="false">TEXT(45292.5,"ddd")</f>
        <v>lun</v>
      </c>
      <c r="B455" s="0" t="s">
        <v>462</v>
      </c>
    </row>
    <row r="456" customFormat="false" ht="15" hidden="false" customHeight="false" outlineLevel="0" collapsed="false">
      <c r="A456" s="0" t="str">
        <f aca="false">TEXT(45658.75123,"ddd")</f>
        <v>mié</v>
      </c>
      <c r="B456" s="0" t="s">
        <v>463</v>
      </c>
    </row>
    <row r="457" customFormat="false" ht="15" hidden="false" customHeight="false" outlineLevel="0" collapsed="false">
      <c r="A457" s="0" t="str">
        <f aca="false">TEXT(0.5,"ddd")</f>
        <v>sáb</v>
      </c>
      <c r="B457" s="0" t="s">
        <v>464</v>
      </c>
    </row>
    <row r="458" customFormat="false" ht="15" hidden="false" customHeight="false" outlineLevel="0" collapsed="false">
      <c r="A458" s="0" t="str">
        <f aca="false">TEXT(1.999,"ddd")</f>
        <v>dom</v>
      </c>
      <c r="B458" s="0" t="s">
        <v>465</v>
      </c>
    </row>
    <row r="459" customFormat="false" ht="15" hidden="false" customHeight="false" outlineLevel="0" collapsed="false">
      <c r="A459" s="0" t="str">
        <f aca="false">TEXT(61,"ddd")</f>
        <v>jue</v>
      </c>
      <c r="B459" s="0" t="s">
        <v>466</v>
      </c>
    </row>
    <row r="460" customFormat="false" ht="15" hidden="false" customHeight="false" outlineLevel="0" collapsed="false">
      <c r="A460" s="0" t="str">
        <f aca="false">TEXT(36526.12345,"ddd")</f>
        <v>sáb</v>
      </c>
      <c r="B460" s="0" t="s">
        <v>467</v>
      </c>
    </row>
    <row r="461" customFormat="false" ht="15" hidden="false" customHeight="false" outlineLevel="0" collapsed="false">
      <c r="A461" s="0" t="str">
        <f aca="false">TEXT(0.999999,"ddd")</f>
        <v>sáb</v>
      </c>
      <c r="B461" s="0" t="s">
        <v>468</v>
      </c>
    </row>
    <row r="462" customFormat="false" ht="15" hidden="false" customHeight="false" outlineLevel="0" collapsed="false">
      <c r="A462" s="0" t="str">
        <f aca="false">TEXT(-1.5,"ddd")</f>
        <v>jue</v>
      </c>
      <c r="B462" s="0" t="s">
        <v>469</v>
      </c>
    </row>
    <row r="463" customFormat="false" ht="15" hidden="false" customHeight="false" outlineLevel="0" collapsed="false">
      <c r="A463" s="0" t="str">
        <f aca="false">TEXT(45292.5,"h:mm")</f>
        <v>12:00</v>
      </c>
      <c r="B463" s="0" t="s">
        <v>470</v>
      </c>
    </row>
    <row r="464" customFormat="false" ht="15" hidden="false" customHeight="false" outlineLevel="0" collapsed="false">
      <c r="A464" s="0" t="str">
        <f aca="false">TEXT(45658.75123,"h:mm")</f>
        <v>18:01</v>
      </c>
      <c r="B464" s="0" t="s">
        <v>471</v>
      </c>
    </row>
    <row r="465" customFormat="false" ht="15" hidden="false" customHeight="false" outlineLevel="0" collapsed="false">
      <c r="A465" s="0" t="str">
        <f aca="false">TEXT(0.5,"h:mm")</f>
        <v>12:00</v>
      </c>
      <c r="B465" s="0" t="s">
        <v>472</v>
      </c>
    </row>
    <row r="466" customFormat="false" ht="15" hidden="false" customHeight="false" outlineLevel="0" collapsed="false">
      <c r="A466" s="0" t="str">
        <f aca="false">TEXT(1.999,"h:mm")</f>
        <v>23:58</v>
      </c>
      <c r="B466" s="0" t="s">
        <v>473</v>
      </c>
    </row>
    <row r="467" customFormat="false" ht="15" hidden="false" customHeight="false" outlineLevel="0" collapsed="false">
      <c r="A467" s="0" t="str">
        <f aca="false">TEXT(61,"h:mm")</f>
        <v>0:00</v>
      </c>
      <c r="B467" s="0" t="s">
        <v>474</v>
      </c>
    </row>
    <row r="468" customFormat="false" ht="15" hidden="false" customHeight="false" outlineLevel="0" collapsed="false">
      <c r="A468" s="0" t="str">
        <f aca="false">TEXT(36526.12345,"h:mm")</f>
        <v>2:57</v>
      </c>
      <c r="B468" s="0" t="s">
        <v>475</v>
      </c>
    </row>
    <row r="469" customFormat="false" ht="15" hidden="false" customHeight="false" outlineLevel="0" collapsed="false">
      <c r="A469" s="0" t="str">
        <f aca="false">TEXT(0.999999,"h:mm")</f>
        <v>23:59</v>
      </c>
      <c r="B469" s="0" t="s">
        <v>476</v>
      </c>
    </row>
    <row r="470" customFormat="false" ht="15" hidden="false" customHeight="false" outlineLevel="0" collapsed="false">
      <c r="A470" s="0" t="str">
        <f aca="false">TEXT(-1.5,"h:mm")</f>
        <v>12:00</v>
      </c>
      <c r="B470" s="0" t="s">
        <v>477</v>
      </c>
    </row>
    <row r="471" customFormat="false" ht="15" hidden="false" customHeight="false" outlineLevel="0" collapsed="false">
      <c r="A471" s="0" t="str">
        <f aca="false">TEXT(45292.5,"hh:mm:ss")</f>
        <v>12:00:00</v>
      </c>
      <c r="B471" s="0" t="s">
        <v>478</v>
      </c>
    </row>
    <row r="472" customFormat="false" ht="15" hidden="false" customHeight="false" outlineLevel="0" collapsed="false">
      <c r="A472" s="0" t="str">
        <f aca="false">TEXT(45658.75123,"hh:mm:ss")</f>
        <v>18:01:46</v>
      </c>
      <c r="B472" s="0" t="s">
        <v>479</v>
      </c>
    </row>
    <row r="473" customFormat="false" ht="15" hidden="false" customHeight="false" outlineLevel="0" collapsed="false">
      <c r="A473" s="0" t="str">
        <f aca="false">TEXT(0.5,"hh:mm:ss")</f>
        <v>12:00:00</v>
      </c>
      <c r="B473" s="0" t="s">
        <v>480</v>
      </c>
    </row>
    <row r="474" customFormat="false" ht="15" hidden="false" customHeight="false" outlineLevel="0" collapsed="false">
      <c r="A474" s="0" t="str">
        <f aca="false">TEXT(1.999,"hh:mm:ss")</f>
        <v>23:58:33</v>
      </c>
      <c r="B474" s="0" t="s">
        <v>481</v>
      </c>
    </row>
    <row r="475" customFormat="false" ht="15" hidden="false" customHeight="false" outlineLevel="0" collapsed="false">
      <c r="A475" s="0" t="str">
        <f aca="false">TEXT(61,"hh:mm:ss")</f>
        <v>00:00:00</v>
      </c>
      <c r="B475" s="0" t="s">
        <v>482</v>
      </c>
    </row>
    <row r="476" customFormat="false" ht="15" hidden="false" customHeight="false" outlineLevel="0" collapsed="false">
      <c r="A476" s="0" t="str">
        <f aca="false">TEXT(36526.12345,"hh:mm:ss")</f>
        <v>02:57:46</v>
      </c>
      <c r="B476" s="0" t="s">
        <v>483</v>
      </c>
    </row>
    <row r="477" customFormat="false" ht="15" hidden="false" customHeight="false" outlineLevel="0" collapsed="false">
      <c r="A477" s="0" t="str">
        <f aca="false">TEXT(0.999999,"hh:mm:ss")</f>
        <v>23:59:59</v>
      </c>
      <c r="B477" s="0" t="s">
        <v>484</v>
      </c>
    </row>
    <row r="478" customFormat="false" ht="15" hidden="false" customHeight="false" outlineLevel="0" collapsed="false">
      <c r="A478" s="0" t="str">
        <f aca="false">TEXT(-1.5,"hh:mm:ss")</f>
        <v>12:00:00</v>
      </c>
      <c r="B478" s="0" t="s">
        <v>485</v>
      </c>
    </row>
    <row r="479" customFormat="false" ht="15" hidden="false" customHeight="false" outlineLevel="0" collapsed="false">
      <c r="A479" s="0" t="str">
        <f aca="false">TEXT(45292.5,"h:mm AM/PM")</f>
        <v>12:00 p. m.</v>
      </c>
      <c r="B479" s="0" t="s">
        <v>486</v>
      </c>
    </row>
    <row r="480" customFormat="false" ht="15" hidden="false" customHeight="false" outlineLevel="0" collapsed="false">
      <c r="A480" s="0" t="str">
        <f aca="false">TEXT(45658.75123,"h:mm AM/PM")</f>
        <v>6:01 p. m.</v>
      </c>
      <c r="B480" s="0" t="s">
        <v>487</v>
      </c>
    </row>
    <row r="481" customFormat="false" ht="15" hidden="false" customHeight="false" outlineLevel="0" collapsed="false">
      <c r="A481" s="0" t="str">
        <f aca="false">TEXT(0.5,"h:mm AM/PM")</f>
        <v>12:00 p. m.</v>
      </c>
      <c r="B481" s="0" t="s">
        <v>488</v>
      </c>
    </row>
    <row r="482" customFormat="false" ht="15" hidden="false" customHeight="false" outlineLevel="0" collapsed="false">
      <c r="A482" s="0" t="str">
        <f aca="false">TEXT(1.999,"h:mm AM/PM")</f>
        <v>11:58 p. m.</v>
      </c>
      <c r="B482" s="0" t="s">
        <v>489</v>
      </c>
    </row>
    <row r="483" customFormat="false" ht="15" hidden="false" customHeight="false" outlineLevel="0" collapsed="false">
      <c r="A483" s="0" t="str">
        <f aca="false">TEXT(61,"h:mm AM/PM")</f>
        <v>12:00 a. m.</v>
      </c>
      <c r="B483" s="0" t="s">
        <v>490</v>
      </c>
    </row>
    <row r="484" customFormat="false" ht="15" hidden="false" customHeight="false" outlineLevel="0" collapsed="false">
      <c r="A484" s="0" t="str">
        <f aca="false">TEXT(36526.12345,"h:mm AM/PM")</f>
        <v>2:57 a. m.</v>
      </c>
      <c r="B484" s="0" t="s">
        <v>491</v>
      </c>
    </row>
    <row r="485" customFormat="false" ht="15" hidden="false" customHeight="false" outlineLevel="0" collapsed="false">
      <c r="A485" s="0" t="str">
        <f aca="false">TEXT(0.999999,"h:mm AM/PM")</f>
        <v>11:59 p. m.</v>
      </c>
      <c r="B485" s="0" t="s">
        <v>492</v>
      </c>
    </row>
    <row r="486" customFormat="false" ht="15" hidden="false" customHeight="false" outlineLevel="0" collapsed="false">
      <c r="A486" s="0" t="str">
        <f aca="false">TEXT(-1.5,"h:mm AM/PM")</f>
        <v>12:00 p. m.</v>
      </c>
      <c r="B486" s="0" t="s">
        <v>493</v>
      </c>
    </row>
    <row r="487" customFormat="false" ht="15" hidden="false" customHeight="false" outlineLevel="0" collapsed="false">
      <c r="A487" s="0" t="str">
        <f aca="false">TEXT(45292.5,"hh:mm:ss.000")</f>
        <v>12:00:00,000</v>
      </c>
      <c r="B487" s="0" t="s">
        <v>494</v>
      </c>
    </row>
    <row r="488" customFormat="false" ht="15" hidden="false" customHeight="false" outlineLevel="0" collapsed="false">
      <c r="A488" s="0" t="str">
        <f aca="false">TEXT(45658.75123,"hh:mm:ss.000")</f>
        <v>18:01:46,272</v>
      </c>
      <c r="B488" s="0" t="s">
        <v>495</v>
      </c>
    </row>
    <row r="489" customFormat="false" ht="15" hidden="false" customHeight="false" outlineLevel="0" collapsed="false">
      <c r="A489" s="0" t="str">
        <f aca="false">TEXT(0.5,"hh:mm:ss.000")</f>
        <v>12:00:00,000</v>
      </c>
      <c r="B489" s="0" t="s">
        <v>496</v>
      </c>
    </row>
    <row r="490" customFormat="false" ht="15" hidden="false" customHeight="false" outlineLevel="0" collapsed="false">
      <c r="A490" s="0" t="str">
        <f aca="false">TEXT(1.999,"hh:mm:ss.000")</f>
        <v>23:58:33,600</v>
      </c>
      <c r="B490" s="0" t="s">
        <v>497</v>
      </c>
    </row>
    <row r="491" customFormat="false" ht="15" hidden="false" customHeight="false" outlineLevel="0" collapsed="false">
      <c r="A491" s="0" t="str">
        <f aca="false">TEXT(61,"hh:mm:ss.000")</f>
        <v>00:00:00,000</v>
      </c>
      <c r="B491" s="0" t="s">
        <v>498</v>
      </c>
    </row>
    <row r="492" customFormat="false" ht="15" hidden="false" customHeight="false" outlineLevel="0" collapsed="false">
      <c r="A492" s="0" t="str">
        <f aca="false">TEXT(36526.12345,"hh:mm:ss.000")</f>
        <v>02:57:46,080</v>
      </c>
      <c r="B492" s="0" t="s">
        <v>499</v>
      </c>
    </row>
    <row r="493" customFormat="false" ht="15" hidden="false" customHeight="false" outlineLevel="0" collapsed="false">
      <c r="A493" s="0" t="str">
        <f aca="false">TEXT(0.999999,"hh:mm:ss.000")</f>
        <v>23:59:59,914</v>
      </c>
      <c r="B493" s="0" t="s">
        <v>500</v>
      </c>
    </row>
    <row r="494" customFormat="false" ht="15" hidden="false" customHeight="false" outlineLevel="0" collapsed="false">
      <c r="A494" s="0" t="str">
        <f aca="false">TEXT(-1.5,"hh:mm:ss.000")</f>
        <v>12:00:00,000</v>
      </c>
      <c r="B494" s="0" t="s">
        <v>501</v>
      </c>
    </row>
    <row r="495" customFormat="false" ht="15" hidden="false" customHeight="false" outlineLevel="0" collapsed="false">
      <c r="A495" s="0" t="str">
        <f aca="false">TEXT(45292.5,"hh:mm:ss.0")</f>
        <v>12:00:00,0</v>
      </c>
      <c r="B495" s="0" t="s">
        <v>502</v>
      </c>
    </row>
    <row r="496" customFormat="false" ht="15" hidden="false" customHeight="false" outlineLevel="0" collapsed="false">
      <c r="A496" s="0" t="str">
        <f aca="false">TEXT(45658.75123,"hh:mm:ss.0")</f>
        <v>18:01:46,3</v>
      </c>
      <c r="B496" s="0" t="s">
        <v>503</v>
      </c>
    </row>
    <row r="497" customFormat="false" ht="15" hidden="false" customHeight="false" outlineLevel="0" collapsed="false">
      <c r="A497" s="0" t="str">
        <f aca="false">TEXT(0.5,"hh:mm:ss.0")</f>
        <v>12:00:00,0</v>
      </c>
      <c r="B497" s="0" t="s">
        <v>504</v>
      </c>
    </row>
    <row r="498" customFormat="false" ht="15" hidden="false" customHeight="false" outlineLevel="0" collapsed="false">
      <c r="A498" s="0" t="str">
        <f aca="false">TEXT(1.999,"hh:mm:ss.0")</f>
        <v>23:58:33,6</v>
      </c>
      <c r="B498" s="0" t="s">
        <v>505</v>
      </c>
    </row>
    <row r="499" customFormat="false" ht="15" hidden="false" customHeight="false" outlineLevel="0" collapsed="false">
      <c r="A499" s="0" t="str">
        <f aca="false">TEXT(61,"hh:mm:ss.0")</f>
        <v>00:00:00,0</v>
      </c>
      <c r="B499" s="0" t="s">
        <v>506</v>
      </c>
    </row>
    <row r="500" customFormat="false" ht="15" hidden="false" customHeight="false" outlineLevel="0" collapsed="false">
      <c r="A500" s="0" t="str">
        <f aca="false">TEXT(36526.12345,"hh:mm:ss.0")</f>
        <v>02:57:46,1</v>
      </c>
      <c r="B500" s="0" t="s">
        <v>507</v>
      </c>
    </row>
    <row r="501" customFormat="false" ht="15" hidden="false" customHeight="false" outlineLevel="0" collapsed="false">
      <c r="A501" s="0" t="str">
        <f aca="false">TEXT(0.999999,"hh:mm:ss.0")</f>
        <v>23:59:59,9</v>
      </c>
      <c r="B501" s="0" t="s">
        <v>508</v>
      </c>
    </row>
    <row r="502" customFormat="false" ht="15" hidden="false" customHeight="false" outlineLevel="0" collapsed="false">
      <c r="A502" s="0" t="str">
        <f aca="false">TEXT(-1.5,"hh:mm:ss.0")</f>
        <v>12:00:00,0</v>
      </c>
      <c r="B502" s="0" t="s">
        <v>509</v>
      </c>
    </row>
    <row r="503" customFormat="false" ht="15" hidden="false" customHeight="false" outlineLevel="0" collapsed="false">
      <c r="A503" s="0" t="str">
        <f aca="false">TEXT(45292.5,"[h]:mm")</f>
        <v>1087020:00</v>
      </c>
      <c r="B503" s="0" t="s">
        <v>510</v>
      </c>
    </row>
    <row r="504" customFormat="false" ht="15" hidden="false" customHeight="false" outlineLevel="0" collapsed="false">
      <c r="A504" s="0" t="str">
        <f aca="false">TEXT(45658.75123,"[h]:mm")</f>
        <v>1095810:01</v>
      </c>
      <c r="B504" s="0" t="s">
        <v>511</v>
      </c>
    </row>
    <row r="505" customFormat="false" ht="15" hidden="false" customHeight="false" outlineLevel="0" collapsed="false">
      <c r="A505" s="0" t="str">
        <f aca="false">TEXT(0.5,"[h]:mm")</f>
        <v>12:00</v>
      </c>
      <c r="B505" s="0" t="s">
        <v>512</v>
      </c>
    </row>
    <row r="506" customFormat="false" ht="15" hidden="false" customHeight="false" outlineLevel="0" collapsed="false">
      <c r="A506" s="0" t="str">
        <f aca="false">TEXT(1.999,"[h]:mm")</f>
        <v>47:58</v>
      </c>
      <c r="B506" s="0" t="s">
        <v>513</v>
      </c>
    </row>
    <row r="507" customFormat="false" ht="15" hidden="false" customHeight="false" outlineLevel="0" collapsed="false">
      <c r="A507" s="0" t="str">
        <f aca="false">TEXT(61,"[h]:mm")</f>
        <v>1464:00</v>
      </c>
      <c r="B507" s="0" t="s">
        <v>514</v>
      </c>
    </row>
    <row r="508" customFormat="false" ht="15" hidden="false" customHeight="false" outlineLevel="0" collapsed="false">
      <c r="A508" s="0" t="str">
        <f aca="false">TEXT(36526.12345,"[h]:mm")</f>
        <v>876626:57</v>
      </c>
      <c r="B508" s="0" t="s">
        <v>515</v>
      </c>
    </row>
    <row r="509" customFormat="false" ht="15" hidden="false" customHeight="false" outlineLevel="0" collapsed="false">
      <c r="A509" s="0" t="str">
        <f aca="false">TEXT(0.999999,"[h]:mm")</f>
        <v>24:00</v>
      </c>
      <c r="B509" s="0" t="s">
        <v>516</v>
      </c>
    </row>
    <row r="510" customFormat="false" ht="15" hidden="false" customHeight="false" outlineLevel="0" collapsed="false">
      <c r="A510" s="0" t="str">
        <f aca="false">TEXT(-1.5,"[h]:mm")</f>
        <v>-36:00</v>
      </c>
      <c r="B510" s="0" t="s">
        <v>517</v>
      </c>
    </row>
    <row r="511" customFormat="false" ht="15" hidden="false" customHeight="false" outlineLevel="0" collapsed="false">
      <c r="A511" s="0" t="str">
        <f aca="false">TEXT(45292.5,"[m]")</f>
        <v>65221200</v>
      </c>
      <c r="B511" s="0" t="s">
        <v>518</v>
      </c>
    </row>
    <row r="512" customFormat="false" ht="15" hidden="false" customHeight="false" outlineLevel="0" collapsed="false">
      <c r="A512" s="0" t="str">
        <f aca="false">TEXT(45658.75123,"[m]")</f>
        <v>65748601</v>
      </c>
      <c r="B512" s="0" t="s">
        <v>519</v>
      </c>
    </row>
    <row r="513" customFormat="false" ht="15" hidden="false" customHeight="false" outlineLevel="0" collapsed="false">
      <c r="A513" s="0" t="str">
        <f aca="false">TEXT(0.5,"[m]")</f>
        <v>720</v>
      </c>
      <c r="B513" s="0" t="s">
        <v>520</v>
      </c>
    </row>
    <row r="514" customFormat="false" ht="15" hidden="false" customHeight="false" outlineLevel="0" collapsed="false">
      <c r="A514" s="0" t="str">
        <f aca="false">TEXT(1.999,"[m]")</f>
        <v>2878</v>
      </c>
      <c r="B514" s="0" t="s">
        <v>521</v>
      </c>
    </row>
    <row r="515" customFormat="false" ht="15" hidden="false" customHeight="false" outlineLevel="0" collapsed="false">
      <c r="A515" s="0" t="str">
        <f aca="false">TEXT(61,"[m]")</f>
        <v>87840</v>
      </c>
      <c r="B515" s="0" t="s">
        <v>522</v>
      </c>
    </row>
    <row r="516" customFormat="false" ht="15" hidden="false" customHeight="false" outlineLevel="0" collapsed="false">
      <c r="A516" s="0" t="str">
        <f aca="false">TEXT(36526.12345,"[m]")</f>
        <v>52597617</v>
      </c>
      <c r="B516" s="0" t="s">
        <v>523</v>
      </c>
    </row>
    <row r="517" customFormat="false" ht="15" hidden="false" customHeight="false" outlineLevel="0" collapsed="false">
      <c r="A517" s="0" t="str">
        <f aca="false">TEXT(0.999999,"[m]")</f>
        <v>1440</v>
      </c>
      <c r="B517" s="0" t="s">
        <v>524</v>
      </c>
    </row>
    <row r="518" customFormat="false" ht="15" hidden="false" customHeight="false" outlineLevel="0" collapsed="false">
      <c r="A518" s="0" t="str">
        <f aca="false">TEXT(-1.5,"[m]")</f>
        <v>-2160</v>
      </c>
      <c r="B518" s="0" t="s">
        <v>525</v>
      </c>
    </row>
    <row r="519" customFormat="false" ht="15" hidden="false" customHeight="false" outlineLevel="0" collapsed="false">
      <c r="A519" s="0" t="str">
        <f aca="false">TEXT(45292.5,"[s]")</f>
        <v>3913272000</v>
      </c>
      <c r="B519" s="0" t="s">
        <v>526</v>
      </c>
    </row>
    <row r="520" customFormat="false" ht="15" hidden="false" customHeight="false" outlineLevel="0" collapsed="false">
      <c r="A520" s="0" t="str">
        <f aca="false">TEXT(45658.75123,"[s]")</f>
        <v>3944916106</v>
      </c>
      <c r="B520" s="0" t="s">
        <v>527</v>
      </c>
    </row>
    <row r="521" customFormat="false" ht="15" hidden="false" customHeight="false" outlineLevel="0" collapsed="false">
      <c r="A521" s="0" t="str">
        <f aca="false">TEXT(0.5,"[s]")</f>
        <v>43200</v>
      </c>
      <c r="B521" s="0" t="s">
        <v>528</v>
      </c>
    </row>
    <row r="522" customFormat="false" ht="15" hidden="false" customHeight="false" outlineLevel="0" collapsed="false">
      <c r="A522" s="0" t="str">
        <f aca="false">TEXT(1.999,"[s]")</f>
        <v>172714</v>
      </c>
      <c r="B522" s="0" t="s">
        <v>529</v>
      </c>
    </row>
    <row r="523" customFormat="false" ht="15" hidden="false" customHeight="false" outlineLevel="0" collapsed="false">
      <c r="A523" s="0" t="str">
        <f aca="false">TEXT(61,"[s]")</f>
        <v>5270400</v>
      </c>
      <c r="B523" s="0" t="s">
        <v>530</v>
      </c>
    </row>
    <row r="524" customFormat="false" ht="15" hidden="false" customHeight="false" outlineLevel="0" collapsed="false">
      <c r="A524" s="0" t="str">
        <f aca="false">TEXT(36526.12345,"[s]")</f>
        <v>3155857066</v>
      </c>
      <c r="B524" s="0" t="s">
        <v>531</v>
      </c>
    </row>
    <row r="525" customFormat="false" ht="15" hidden="false" customHeight="false" outlineLevel="0" collapsed="false">
      <c r="A525" s="0" t="str">
        <f aca="false">TEXT(0.999999,"[s]")</f>
        <v>86400</v>
      </c>
      <c r="B525" s="0" t="s">
        <v>532</v>
      </c>
    </row>
    <row r="526" customFormat="false" ht="15" hidden="false" customHeight="false" outlineLevel="0" collapsed="false">
      <c r="A526" s="0" t="str">
        <f aca="false">TEXT(-1.5,"[s]")</f>
        <v>-129600</v>
      </c>
      <c r="B526" s="0" t="s">
        <v>533</v>
      </c>
    </row>
    <row r="527" customFormat="false" ht="15" hidden="false" customHeight="false" outlineLevel="0" collapsed="false">
      <c r="A527" s="0" t="str">
        <f aca="false">TEXT(45292.5,"mm:ss")</f>
        <v>00:00</v>
      </c>
      <c r="B527" s="0" t="s">
        <v>534</v>
      </c>
    </row>
    <row r="528" customFormat="false" ht="15" hidden="false" customHeight="false" outlineLevel="0" collapsed="false">
      <c r="A528" s="0" t="str">
        <f aca="false">TEXT(45658.75123,"mm:ss")</f>
        <v>01:46</v>
      </c>
      <c r="B528" s="0" t="s">
        <v>535</v>
      </c>
    </row>
    <row r="529" customFormat="false" ht="15" hidden="false" customHeight="false" outlineLevel="0" collapsed="false">
      <c r="A529" s="0" t="str">
        <f aca="false">TEXT(0.5,"mm:ss")</f>
        <v>00:00</v>
      </c>
      <c r="B529" s="0" t="s">
        <v>536</v>
      </c>
    </row>
    <row r="530" customFormat="false" ht="15" hidden="false" customHeight="false" outlineLevel="0" collapsed="false">
      <c r="A530" s="0" t="str">
        <f aca="false">TEXT(1.999,"mm:ss")</f>
        <v>58:33</v>
      </c>
      <c r="B530" s="0" t="s">
        <v>537</v>
      </c>
    </row>
    <row r="531" customFormat="false" ht="15" hidden="false" customHeight="false" outlineLevel="0" collapsed="false">
      <c r="A531" s="0" t="str">
        <f aca="false">TEXT(61,"mm:ss")</f>
        <v>00:00</v>
      </c>
      <c r="B531" s="0" t="s">
        <v>538</v>
      </c>
    </row>
    <row r="532" customFormat="false" ht="15" hidden="false" customHeight="false" outlineLevel="0" collapsed="false">
      <c r="A532" s="0" t="str">
        <f aca="false">TEXT(36526.12345,"mm:ss")</f>
        <v>57:46</v>
      </c>
      <c r="B532" s="0" t="s">
        <v>539</v>
      </c>
    </row>
    <row r="533" customFormat="false" ht="15" hidden="false" customHeight="false" outlineLevel="0" collapsed="false">
      <c r="A533" s="0" t="str">
        <f aca="false">TEXT(0.999999,"mm:ss")</f>
        <v>59:59</v>
      </c>
      <c r="B533" s="0" t="s">
        <v>540</v>
      </c>
    </row>
    <row r="534" customFormat="false" ht="15" hidden="false" customHeight="false" outlineLevel="0" collapsed="false">
      <c r="A534" s="0" t="str">
        <f aca="false">TEXT(-1.5,"mm:ss")</f>
        <v>00:00</v>
      </c>
      <c r="B534" s="0" t="s">
        <v>541</v>
      </c>
    </row>
    <row r="535" customFormat="false" ht="15" hidden="false" customHeight="false" outlineLevel="0" collapsed="false">
      <c r="A535" s="0" t="str">
        <f aca="false">TEXT(45292.5,"yy")</f>
        <v>24</v>
      </c>
      <c r="B535" s="0" t="s">
        <v>542</v>
      </c>
    </row>
    <row r="536" customFormat="false" ht="15" hidden="false" customHeight="false" outlineLevel="0" collapsed="false">
      <c r="A536" s="0" t="str">
        <f aca="false">TEXT(45658.75123,"yy")</f>
        <v>25</v>
      </c>
      <c r="B536" s="0" t="s">
        <v>543</v>
      </c>
    </row>
    <row r="537" customFormat="false" ht="15" hidden="false" customHeight="false" outlineLevel="0" collapsed="false">
      <c r="A537" s="0" t="str">
        <f aca="false">TEXT(0.5,"yy")</f>
        <v>99</v>
      </c>
      <c r="B537" s="0" t="s">
        <v>544</v>
      </c>
    </row>
    <row r="538" customFormat="false" ht="15" hidden="false" customHeight="false" outlineLevel="0" collapsed="false">
      <c r="A538" s="0" t="str">
        <f aca="false">TEXT(1.999,"yy")</f>
        <v>99</v>
      </c>
      <c r="B538" s="0" t="s">
        <v>545</v>
      </c>
    </row>
    <row r="539" customFormat="false" ht="15" hidden="false" customHeight="false" outlineLevel="0" collapsed="false">
      <c r="A539" s="0" t="str">
        <f aca="false">TEXT(61,"yy")</f>
        <v>00</v>
      </c>
      <c r="B539" s="0" t="s">
        <v>546</v>
      </c>
    </row>
    <row r="540" customFormat="false" ht="15" hidden="false" customHeight="false" outlineLevel="0" collapsed="false">
      <c r="A540" s="0" t="str">
        <f aca="false">TEXT(36526.12345,"yy")</f>
        <v>00</v>
      </c>
      <c r="B540" s="0" t="s">
        <v>547</v>
      </c>
    </row>
    <row r="541" customFormat="false" ht="15" hidden="false" customHeight="false" outlineLevel="0" collapsed="false">
      <c r="A541" s="0" t="str">
        <f aca="false">TEXT(0.999999,"yy")</f>
        <v>99</v>
      </c>
      <c r="B541" s="0" t="s">
        <v>548</v>
      </c>
    </row>
    <row r="542" customFormat="false" ht="15" hidden="false" customHeight="false" outlineLevel="0" collapsed="false">
      <c r="A542" s="0" t="str">
        <f aca="false">TEXT(-1.5,"yy")</f>
        <v>99</v>
      </c>
      <c r="B542" s="0" t="s">
        <v>549</v>
      </c>
    </row>
    <row r="543" customFormat="false" ht="15" hidden="false" customHeight="false" outlineLevel="0" collapsed="false">
      <c r="A543" s="0" t="str">
        <f aca="false">TEXT(45292.5,"yyyy")</f>
        <v>2024</v>
      </c>
      <c r="B543" s="0" t="s">
        <v>550</v>
      </c>
    </row>
    <row r="544" customFormat="false" ht="15" hidden="false" customHeight="false" outlineLevel="0" collapsed="false">
      <c r="A544" s="0" t="str">
        <f aca="false">TEXT(45658.75123,"yyyy")</f>
        <v>2025</v>
      </c>
      <c r="B544" s="0" t="s">
        <v>551</v>
      </c>
    </row>
    <row r="545" customFormat="false" ht="15" hidden="false" customHeight="false" outlineLevel="0" collapsed="false">
      <c r="A545" s="0" t="str">
        <f aca="false">TEXT(0.5,"yyyy")</f>
        <v>1899</v>
      </c>
      <c r="B545" s="0" t="s">
        <v>552</v>
      </c>
    </row>
    <row r="546" customFormat="false" ht="15" hidden="false" customHeight="false" outlineLevel="0" collapsed="false">
      <c r="A546" s="0" t="str">
        <f aca="false">TEXT(1.999,"yyyy")</f>
        <v>1899</v>
      </c>
      <c r="B546" s="0" t="s">
        <v>553</v>
      </c>
    </row>
    <row r="547" customFormat="false" ht="15" hidden="false" customHeight="false" outlineLevel="0" collapsed="false">
      <c r="A547" s="0" t="str">
        <f aca="false">TEXT(61,"yyyy")</f>
        <v>1900</v>
      </c>
      <c r="B547" s="0" t="s">
        <v>554</v>
      </c>
    </row>
    <row r="548" customFormat="false" ht="15" hidden="false" customHeight="false" outlineLevel="0" collapsed="false">
      <c r="A548" s="0" t="str">
        <f aca="false">TEXT(36526.12345,"yyyy")</f>
        <v>2000</v>
      </c>
      <c r="B548" s="0" t="s">
        <v>555</v>
      </c>
    </row>
    <row r="549" customFormat="false" ht="15" hidden="false" customHeight="false" outlineLevel="0" collapsed="false">
      <c r="A549" s="0" t="str">
        <f aca="false">TEXT(0.999999,"yyyy")</f>
        <v>1899</v>
      </c>
      <c r="B549" s="0" t="s">
        <v>556</v>
      </c>
    </row>
    <row r="550" customFormat="false" ht="15" hidden="false" customHeight="false" outlineLevel="0" collapsed="false">
      <c r="A550" s="0" t="str">
        <f aca="false">TEXT(-1.5,"yyyy")</f>
        <v>1899</v>
      </c>
      <c r="B550" s="0" t="s">
        <v>557</v>
      </c>
    </row>
    <row r="551" customFormat="false" ht="15" hidden="false" customHeight="false" outlineLevel="0" collapsed="false">
      <c r="A551" s="0" t="str">
        <f aca="false">TEXT(45292.5,"m/d/yy")</f>
        <v>1/1/24</v>
      </c>
      <c r="B551" s="0" t="s">
        <v>558</v>
      </c>
    </row>
    <row r="552" customFormat="false" ht="15" hidden="false" customHeight="false" outlineLevel="0" collapsed="false">
      <c r="A552" s="0" t="str">
        <f aca="false">TEXT(45658.75123,"m/d/yy")</f>
        <v>1/1/25</v>
      </c>
      <c r="B552" s="0" t="s">
        <v>559</v>
      </c>
    </row>
    <row r="553" customFormat="false" ht="15" hidden="false" customHeight="false" outlineLevel="0" collapsed="false">
      <c r="A553" s="0" t="str">
        <f aca="false">TEXT(0.5,"m/d/yy")</f>
        <v>12/30/99</v>
      </c>
      <c r="B553" s="0" t="s">
        <v>560</v>
      </c>
    </row>
    <row r="554" customFormat="false" ht="15" hidden="false" customHeight="false" outlineLevel="0" collapsed="false">
      <c r="A554" s="0" t="str">
        <f aca="false">TEXT(1.999,"m/d/yy")</f>
        <v>12/31/99</v>
      </c>
      <c r="B554" s="0" t="s">
        <v>561</v>
      </c>
    </row>
    <row r="555" customFormat="false" ht="15" hidden="false" customHeight="false" outlineLevel="0" collapsed="false">
      <c r="A555" s="0" t="str">
        <f aca="false">TEXT(61,"m/d/yy")</f>
        <v>3/1/00</v>
      </c>
      <c r="B555" s="0" t="s">
        <v>562</v>
      </c>
    </row>
    <row r="556" customFormat="false" ht="15" hidden="false" customHeight="false" outlineLevel="0" collapsed="false">
      <c r="A556" s="0" t="str">
        <f aca="false">TEXT(36526.12345,"m/d/yy")</f>
        <v>1/1/00</v>
      </c>
      <c r="B556" s="0" t="s">
        <v>563</v>
      </c>
    </row>
    <row r="557" customFormat="false" ht="15" hidden="false" customHeight="false" outlineLevel="0" collapsed="false">
      <c r="A557" s="0" t="str">
        <f aca="false">TEXT(0.999999,"m/d/yy")</f>
        <v>12/30/99</v>
      </c>
      <c r="B557" s="0" t="s">
        <v>564</v>
      </c>
    </row>
    <row r="558" customFormat="false" ht="15" hidden="false" customHeight="false" outlineLevel="0" collapsed="false">
      <c r="A558" s="0" t="str">
        <f aca="false">TEXT(-1.5,"m/d/yy")</f>
        <v>12/28/99</v>
      </c>
      <c r="B558" s="0" t="s">
        <v>565</v>
      </c>
    </row>
    <row r="559" customFormat="false" ht="15" hidden="false" customHeight="false" outlineLevel="0" collapsed="false">
      <c r="A559" s="0" t="str">
        <f aca="false">TEXT(45292.5,"d")</f>
        <v>1</v>
      </c>
      <c r="B559" s="0" t="s">
        <v>566</v>
      </c>
    </row>
    <row r="560" customFormat="false" ht="15" hidden="false" customHeight="false" outlineLevel="0" collapsed="false">
      <c r="A560" s="0" t="str">
        <f aca="false">TEXT(45658.75123,"d")</f>
        <v>1</v>
      </c>
      <c r="B560" s="0" t="s">
        <v>567</v>
      </c>
    </row>
    <row r="561" customFormat="false" ht="15" hidden="false" customHeight="false" outlineLevel="0" collapsed="false">
      <c r="A561" s="0" t="str">
        <f aca="false">TEXT(0.5,"d")</f>
        <v>30</v>
      </c>
      <c r="B561" s="0" t="s">
        <v>568</v>
      </c>
    </row>
    <row r="562" customFormat="false" ht="15" hidden="false" customHeight="false" outlineLevel="0" collapsed="false">
      <c r="A562" s="0" t="str">
        <f aca="false">TEXT(1.999,"d")</f>
        <v>31</v>
      </c>
      <c r="B562" s="0" t="s">
        <v>569</v>
      </c>
    </row>
    <row r="563" customFormat="false" ht="15" hidden="false" customHeight="false" outlineLevel="0" collapsed="false">
      <c r="A563" s="0" t="str">
        <f aca="false">TEXT(61,"d")</f>
        <v>1</v>
      </c>
      <c r="B563" s="0" t="s">
        <v>570</v>
      </c>
    </row>
    <row r="564" customFormat="false" ht="15" hidden="false" customHeight="false" outlineLevel="0" collapsed="false">
      <c r="A564" s="0" t="str">
        <f aca="false">TEXT(36526.12345,"d")</f>
        <v>1</v>
      </c>
      <c r="B564" s="0" t="s">
        <v>571</v>
      </c>
    </row>
    <row r="565" customFormat="false" ht="15" hidden="false" customHeight="false" outlineLevel="0" collapsed="false">
      <c r="A565" s="0" t="str">
        <f aca="false">TEXT(0.999999,"d")</f>
        <v>30</v>
      </c>
      <c r="B565" s="0" t="s">
        <v>572</v>
      </c>
    </row>
    <row r="566" customFormat="false" ht="15" hidden="false" customHeight="false" outlineLevel="0" collapsed="false">
      <c r="A566" s="0" t="str">
        <f aca="false">TEXT(-1.5,"d")</f>
        <v>28</v>
      </c>
      <c r="B566" s="0" t="s">
        <v>573</v>
      </c>
    </row>
    <row r="567" customFormat="false" ht="15" hidden="false" customHeight="false" outlineLevel="0" collapsed="false">
      <c r="A567" s="0" t="str">
        <f aca="false">TEXT(45292.5,"dd")</f>
        <v>01</v>
      </c>
      <c r="B567" s="0" t="s">
        <v>574</v>
      </c>
    </row>
    <row r="568" customFormat="false" ht="15" hidden="false" customHeight="false" outlineLevel="0" collapsed="false">
      <c r="A568" s="0" t="str">
        <f aca="false">TEXT(45658.75123,"dd")</f>
        <v>01</v>
      </c>
      <c r="B568" s="0" t="s">
        <v>575</v>
      </c>
    </row>
    <row r="569" customFormat="false" ht="15" hidden="false" customHeight="false" outlineLevel="0" collapsed="false">
      <c r="A569" s="0" t="str">
        <f aca="false">TEXT(0.5,"dd")</f>
        <v>30</v>
      </c>
      <c r="B569" s="0" t="s">
        <v>576</v>
      </c>
    </row>
    <row r="570" customFormat="false" ht="15" hidden="false" customHeight="false" outlineLevel="0" collapsed="false">
      <c r="A570" s="0" t="str">
        <f aca="false">TEXT(1.999,"dd")</f>
        <v>31</v>
      </c>
      <c r="B570" s="0" t="s">
        <v>577</v>
      </c>
    </row>
    <row r="571" customFormat="false" ht="15" hidden="false" customHeight="false" outlineLevel="0" collapsed="false">
      <c r="A571" s="0" t="str">
        <f aca="false">TEXT(61,"dd")</f>
        <v>01</v>
      </c>
      <c r="B571" s="0" t="s">
        <v>578</v>
      </c>
    </row>
    <row r="572" customFormat="false" ht="15" hidden="false" customHeight="false" outlineLevel="0" collapsed="false">
      <c r="A572" s="0" t="str">
        <f aca="false">TEXT(36526.12345,"dd")</f>
        <v>01</v>
      </c>
      <c r="B572" s="0" t="s">
        <v>579</v>
      </c>
    </row>
    <row r="573" customFormat="false" ht="15" hidden="false" customHeight="false" outlineLevel="0" collapsed="false">
      <c r="A573" s="0" t="str">
        <f aca="false">TEXT(0.999999,"dd")</f>
        <v>30</v>
      </c>
      <c r="B573" s="0" t="s">
        <v>580</v>
      </c>
    </row>
    <row r="574" customFormat="false" ht="15" hidden="false" customHeight="false" outlineLevel="0" collapsed="false">
      <c r="A574" s="0" t="str">
        <f aca="false">TEXT(-1.5,"dd")</f>
        <v>28</v>
      </c>
      <c r="B574" s="0" t="s">
        <v>581</v>
      </c>
    </row>
    <row r="575" customFormat="false" ht="15" hidden="false" customHeight="false" outlineLevel="0" collapsed="false">
      <c r="A575" s="0" t="str">
        <f aca="false">TEXT(45292.5,"mmmmm")</f>
        <v>e</v>
      </c>
      <c r="B575" s="0" t="s">
        <v>582</v>
      </c>
    </row>
    <row r="576" customFormat="false" ht="15" hidden="false" customHeight="false" outlineLevel="0" collapsed="false">
      <c r="A576" s="0" t="str">
        <f aca="false">TEXT(45658.75123,"mmmmm")</f>
        <v>e</v>
      </c>
      <c r="B576" s="0" t="s">
        <v>583</v>
      </c>
    </row>
    <row r="577" customFormat="false" ht="15" hidden="false" customHeight="false" outlineLevel="0" collapsed="false">
      <c r="A577" s="0" t="str">
        <f aca="false">TEXT(0.5,"mmmmm")</f>
        <v>d</v>
      </c>
      <c r="B577" s="0" t="s">
        <v>584</v>
      </c>
    </row>
    <row r="578" customFormat="false" ht="15" hidden="false" customHeight="false" outlineLevel="0" collapsed="false">
      <c r="A578" s="0" t="str">
        <f aca="false">TEXT(1.999,"mmmmm")</f>
        <v>d</v>
      </c>
      <c r="B578" s="0" t="s">
        <v>585</v>
      </c>
    </row>
    <row r="579" customFormat="false" ht="15" hidden="false" customHeight="false" outlineLevel="0" collapsed="false">
      <c r="A579" s="0" t="str">
        <f aca="false">TEXT(61,"mmmmm")</f>
        <v>m</v>
      </c>
      <c r="B579" s="0" t="s">
        <v>586</v>
      </c>
    </row>
    <row r="580" customFormat="false" ht="15" hidden="false" customHeight="false" outlineLevel="0" collapsed="false">
      <c r="A580" s="0" t="str">
        <f aca="false">TEXT(36526.12345,"mmmmm")</f>
        <v>e</v>
      </c>
      <c r="B580" s="0" t="s">
        <v>587</v>
      </c>
    </row>
    <row r="581" customFormat="false" ht="15" hidden="false" customHeight="false" outlineLevel="0" collapsed="false">
      <c r="A581" s="0" t="str">
        <f aca="false">TEXT(0.999999,"mmmmm")</f>
        <v>d</v>
      </c>
      <c r="B581" s="0" t="s">
        <v>588</v>
      </c>
    </row>
    <row r="582" customFormat="false" ht="15" hidden="false" customHeight="false" outlineLevel="0" collapsed="false">
      <c r="A582" s="0" t="str">
        <f aca="false">TEXT(-1.5,"mmmmm")</f>
        <v>d</v>
      </c>
      <c r="B582" s="0" t="s">
        <v>589</v>
      </c>
    </row>
    <row r="583" customFormat="false" ht="15" hidden="false" customHeight="false" outlineLevel="0" collapsed="false">
      <c r="A583" s="0" t="str">
        <f aca="false">TEXT(45292.5,"yyyy-mm-dd hh:mm")</f>
        <v>2024-01-01 12:00</v>
      </c>
      <c r="B583" s="0" t="s">
        <v>590</v>
      </c>
    </row>
    <row r="584" customFormat="false" ht="15" hidden="false" customHeight="false" outlineLevel="0" collapsed="false">
      <c r="A584" s="0" t="str">
        <f aca="false">TEXT(45658.75123,"yyyy-mm-dd hh:mm")</f>
        <v>2025-01-01 18:01</v>
      </c>
      <c r="B584" s="0" t="s">
        <v>591</v>
      </c>
    </row>
    <row r="585" customFormat="false" ht="15" hidden="false" customHeight="false" outlineLevel="0" collapsed="false">
      <c r="A585" s="0" t="str">
        <f aca="false">TEXT(0.5,"yyyy-mm-dd hh:mm")</f>
        <v>1899-12-30 12:00</v>
      </c>
      <c r="B585" s="0" t="s">
        <v>592</v>
      </c>
    </row>
    <row r="586" customFormat="false" ht="15" hidden="false" customHeight="false" outlineLevel="0" collapsed="false">
      <c r="A586" s="0" t="str">
        <f aca="false">TEXT(1.999,"yyyy-mm-dd hh:mm")</f>
        <v>1899-12-31 23:58</v>
      </c>
      <c r="B586" s="0" t="s">
        <v>593</v>
      </c>
    </row>
    <row r="587" customFormat="false" ht="15" hidden="false" customHeight="false" outlineLevel="0" collapsed="false">
      <c r="A587" s="0" t="str">
        <f aca="false">TEXT(61,"yyyy-mm-dd hh:mm")</f>
        <v>1900-03-01 00:00</v>
      </c>
      <c r="B587" s="0" t="s">
        <v>594</v>
      </c>
    </row>
    <row r="588" customFormat="false" ht="15" hidden="false" customHeight="false" outlineLevel="0" collapsed="false">
      <c r="A588" s="0" t="str">
        <f aca="false">TEXT(36526.12345,"yyyy-mm-dd hh:mm")</f>
        <v>2000-01-01 02:57</v>
      </c>
      <c r="B588" s="0" t="s">
        <v>595</v>
      </c>
    </row>
    <row r="589" customFormat="false" ht="15" hidden="false" customHeight="false" outlineLevel="0" collapsed="false">
      <c r="A589" s="0" t="str">
        <f aca="false">TEXT(0.999999,"yyyy-mm-dd hh:mm")</f>
        <v>1899-12-30 23:59</v>
      </c>
      <c r="B589" s="0" t="s">
        <v>596</v>
      </c>
    </row>
    <row r="590" customFormat="false" ht="15" hidden="false" customHeight="false" outlineLevel="0" collapsed="false">
      <c r="A590" s="0" t="str">
        <f aca="false">TEXT(-1.5,"yyyy-mm-dd hh:mm")</f>
        <v>1899-12-28 12:00</v>
      </c>
      <c r="B590" s="0" t="s">
        <v>597</v>
      </c>
    </row>
    <row r="591" customFormat="false" ht="15" hidden="false" customHeight="false" outlineLevel="0" collapsed="false">
      <c r="A591" s="0" t="str">
        <f aca="false">TEXT(45292.5,"AM/PM")</f>
        <v>p. m.</v>
      </c>
      <c r="B591" s="0" t="s">
        <v>598</v>
      </c>
    </row>
    <row r="592" customFormat="false" ht="15" hidden="false" customHeight="false" outlineLevel="0" collapsed="false">
      <c r="A592" s="0" t="str">
        <f aca="false">TEXT(45658.75123,"AM/PM")</f>
        <v>p. m.</v>
      </c>
      <c r="B592" s="0" t="s">
        <v>599</v>
      </c>
    </row>
    <row r="593" customFormat="false" ht="15" hidden="false" customHeight="false" outlineLevel="0" collapsed="false">
      <c r="A593" s="0" t="str">
        <f aca="false">TEXT(0.5,"AM/PM")</f>
        <v>p. m.</v>
      </c>
      <c r="B593" s="0" t="s">
        <v>600</v>
      </c>
    </row>
    <row r="594" customFormat="false" ht="15" hidden="false" customHeight="false" outlineLevel="0" collapsed="false">
      <c r="A594" s="0" t="str">
        <f aca="false">TEXT(1.999,"AM/PM")</f>
        <v>p. m.</v>
      </c>
      <c r="B594" s="0" t="s">
        <v>601</v>
      </c>
    </row>
    <row r="595" customFormat="false" ht="15" hidden="false" customHeight="false" outlineLevel="0" collapsed="false">
      <c r="A595" s="0" t="str">
        <f aca="false">TEXT(61,"AM/PM")</f>
        <v>a. m.</v>
      </c>
      <c r="B595" s="0" t="s">
        <v>602</v>
      </c>
    </row>
    <row r="596" customFormat="false" ht="15" hidden="false" customHeight="false" outlineLevel="0" collapsed="false">
      <c r="A596" s="0" t="str">
        <f aca="false">TEXT(36526.12345,"AM/PM")</f>
        <v>a. m.</v>
      </c>
      <c r="B596" s="0" t="s">
        <v>603</v>
      </c>
    </row>
    <row r="597" customFormat="false" ht="15" hidden="false" customHeight="false" outlineLevel="0" collapsed="false">
      <c r="A597" s="0" t="str">
        <f aca="false">TEXT(0.999999,"AM/PM")</f>
        <v>p. m.</v>
      </c>
      <c r="B597" s="0" t="s">
        <v>604</v>
      </c>
    </row>
    <row r="598" customFormat="false" ht="15" hidden="false" customHeight="false" outlineLevel="0" collapsed="false">
      <c r="A598" s="0" t="str">
        <f aca="false">TEXT(-1.5,"AM/PM")</f>
        <v>p. m.</v>
      </c>
      <c r="B598" s="0" t="s">
        <v>605</v>
      </c>
    </row>
    <row r="599" customFormat="false" ht="15" hidden="false" customHeight="false" outlineLevel="0" collapsed="false">
      <c r="A599" s="0" t="str">
        <f aca="false">TEXT(45292.5,"h A/P")</f>
        <v>12 p</v>
      </c>
      <c r="B599" s="0" t="s">
        <v>606</v>
      </c>
    </row>
    <row r="600" customFormat="false" ht="15" hidden="false" customHeight="false" outlineLevel="0" collapsed="false">
      <c r="A600" s="0" t="str">
        <f aca="false">TEXT(45658.75123,"h A/P")</f>
        <v>6 p</v>
      </c>
      <c r="B600" s="0" t="s">
        <v>607</v>
      </c>
    </row>
    <row r="601" customFormat="false" ht="15" hidden="false" customHeight="false" outlineLevel="0" collapsed="false">
      <c r="A601" s="0" t="str">
        <f aca="false">TEXT(0.5,"h A/P")</f>
        <v>12 p</v>
      </c>
      <c r="B601" s="0" t="s">
        <v>608</v>
      </c>
    </row>
    <row r="602" customFormat="false" ht="15" hidden="false" customHeight="false" outlineLevel="0" collapsed="false">
      <c r="A602" s="0" t="str">
        <f aca="false">TEXT(1.999,"h A/P")</f>
        <v>11 p</v>
      </c>
      <c r="B602" s="0" t="s">
        <v>609</v>
      </c>
    </row>
    <row r="603" customFormat="false" ht="15" hidden="false" customHeight="false" outlineLevel="0" collapsed="false">
      <c r="A603" s="0" t="str">
        <f aca="false">TEXT(61,"h A/P")</f>
        <v>12 a</v>
      </c>
      <c r="B603" s="0" t="s">
        <v>610</v>
      </c>
    </row>
    <row r="604" customFormat="false" ht="15" hidden="false" customHeight="false" outlineLevel="0" collapsed="false">
      <c r="A604" s="0" t="str">
        <f aca="false">TEXT(36526.12345,"h A/P")</f>
        <v>2 a</v>
      </c>
      <c r="B604" s="0" t="s">
        <v>611</v>
      </c>
    </row>
    <row r="605" customFormat="false" ht="15" hidden="false" customHeight="false" outlineLevel="0" collapsed="false">
      <c r="A605" s="0" t="str">
        <f aca="false">TEXT(0.999999,"h A/P")</f>
        <v>11 p</v>
      </c>
      <c r="B605" s="0" t="s">
        <v>612</v>
      </c>
    </row>
    <row r="606" customFormat="false" ht="15" hidden="false" customHeight="false" outlineLevel="0" collapsed="false">
      <c r="A606" s="0" t="str">
        <f aca="false">TEXT(-1.5,"h A/P")</f>
        <v>12 p</v>
      </c>
      <c r="B606" s="0" t="s">
        <v>613</v>
      </c>
    </row>
    <row r="607" customFormat="false" ht="15" hidden="false" customHeight="false" outlineLevel="0" collapsed="false">
      <c r="A607" s="0" t="str">
        <f aca="false">TEXT(45292.5,"mm")</f>
        <v>01</v>
      </c>
      <c r="B607" s="0" t="s">
        <v>614</v>
      </c>
    </row>
    <row r="608" customFormat="false" ht="15" hidden="false" customHeight="false" outlineLevel="0" collapsed="false">
      <c r="A608" s="0" t="str">
        <f aca="false">TEXT(45658.75123,"mm")</f>
        <v>01</v>
      </c>
      <c r="B608" s="0" t="s">
        <v>615</v>
      </c>
    </row>
    <row r="609" customFormat="false" ht="15" hidden="false" customHeight="false" outlineLevel="0" collapsed="false">
      <c r="A609" s="0" t="str">
        <f aca="false">TEXT(0.5,"mm")</f>
        <v>12</v>
      </c>
      <c r="B609" s="0" t="s">
        <v>616</v>
      </c>
    </row>
    <row r="610" customFormat="false" ht="15" hidden="false" customHeight="false" outlineLevel="0" collapsed="false">
      <c r="A610" s="0" t="str">
        <f aca="false">TEXT(1.999,"mm")</f>
        <v>12</v>
      </c>
      <c r="B610" s="0" t="s">
        <v>617</v>
      </c>
    </row>
    <row r="611" customFormat="false" ht="15" hidden="false" customHeight="false" outlineLevel="0" collapsed="false">
      <c r="A611" s="0" t="str">
        <f aca="false">TEXT(61,"mm")</f>
        <v>03</v>
      </c>
      <c r="B611" s="0" t="s">
        <v>618</v>
      </c>
    </row>
    <row r="612" customFormat="false" ht="15" hidden="false" customHeight="false" outlineLevel="0" collapsed="false">
      <c r="A612" s="0" t="str">
        <f aca="false">TEXT(36526.12345,"mm")</f>
        <v>01</v>
      </c>
      <c r="B612" s="0" t="s">
        <v>619</v>
      </c>
    </row>
    <row r="613" customFormat="false" ht="15" hidden="false" customHeight="false" outlineLevel="0" collapsed="false">
      <c r="A613" s="0" t="str">
        <f aca="false">TEXT(0.999999,"mm")</f>
        <v>12</v>
      </c>
      <c r="B613" s="0" t="s">
        <v>620</v>
      </c>
    </row>
    <row r="614" customFormat="false" ht="15" hidden="false" customHeight="false" outlineLevel="0" collapsed="false">
      <c r="A614" s="0" t="str">
        <f aca="false">TEXT(-1.5,"mm")</f>
        <v>12</v>
      </c>
      <c r="B614" s="0" t="s">
        <v>621</v>
      </c>
    </row>
    <row r="615" customFormat="false" ht="15" hidden="false" customHeight="false" outlineLevel="0" collapsed="false">
      <c r="A615" s="0" t="str">
        <f aca="false">TEXT(45292.5,"m")</f>
        <v>1</v>
      </c>
      <c r="B615" s="0" t="s">
        <v>622</v>
      </c>
    </row>
    <row r="616" customFormat="false" ht="15" hidden="false" customHeight="false" outlineLevel="0" collapsed="false">
      <c r="A616" s="0" t="str">
        <f aca="false">TEXT(45658.75123,"m")</f>
        <v>1</v>
      </c>
      <c r="B616" s="0" t="s">
        <v>623</v>
      </c>
    </row>
    <row r="617" customFormat="false" ht="15" hidden="false" customHeight="false" outlineLevel="0" collapsed="false">
      <c r="A617" s="0" t="str">
        <f aca="false">TEXT(0.5,"m")</f>
        <v>12</v>
      </c>
      <c r="B617" s="0" t="s">
        <v>624</v>
      </c>
    </row>
    <row r="618" customFormat="false" ht="15" hidden="false" customHeight="false" outlineLevel="0" collapsed="false">
      <c r="A618" s="0" t="str">
        <f aca="false">TEXT(1.999,"m")</f>
        <v>12</v>
      </c>
      <c r="B618" s="0" t="s">
        <v>625</v>
      </c>
    </row>
    <row r="619" customFormat="false" ht="15" hidden="false" customHeight="false" outlineLevel="0" collapsed="false">
      <c r="A619" s="0" t="str">
        <f aca="false">TEXT(61,"m")</f>
        <v>3</v>
      </c>
      <c r="B619" s="0" t="s">
        <v>626</v>
      </c>
    </row>
    <row r="620" customFormat="false" ht="15" hidden="false" customHeight="false" outlineLevel="0" collapsed="false">
      <c r="A620" s="0" t="str">
        <f aca="false">TEXT(36526.12345,"m")</f>
        <v>1</v>
      </c>
      <c r="B620" s="0" t="s">
        <v>627</v>
      </c>
    </row>
    <row r="621" customFormat="false" ht="15" hidden="false" customHeight="false" outlineLevel="0" collapsed="false">
      <c r="A621" s="0" t="str">
        <f aca="false">TEXT(0.999999,"m")</f>
        <v>12</v>
      </c>
      <c r="B621" s="0" t="s">
        <v>628</v>
      </c>
    </row>
    <row r="622" customFormat="false" ht="15" hidden="false" customHeight="false" outlineLevel="0" collapsed="false">
      <c r="A622" s="0" t="str">
        <f aca="false">TEXT(-1.5,"m")</f>
        <v>12</v>
      </c>
      <c r="B622" s="0" t="s">
        <v>629</v>
      </c>
    </row>
    <row r="623" customFormat="false" ht="15" hidden="false" customHeight="false" outlineLevel="0" collapsed="false">
      <c r="A623" s="0" t="str">
        <f aca="false">TEXT(45292.5,"mm-dd")</f>
        <v>01-01</v>
      </c>
      <c r="B623" s="0" t="s">
        <v>630</v>
      </c>
    </row>
    <row r="624" customFormat="false" ht="15" hidden="false" customHeight="false" outlineLevel="0" collapsed="false">
      <c r="A624" s="0" t="str">
        <f aca="false">TEXT(45658.75123,"mm-dd")</f>
        <v>01-01</v>
      </c>
      <c r="B624" s="0" t="s">
        <v>631</v>
      </c>
    </row>
    <row r="625" customFormat="false" ht="15" hidden="false" customHeight="false" outlineLevel="0" collapsed="false">
      <c r="A625" s="0" t="str">
        <f aca="false">TEXT(0.5,"mm-dd")</f>
        <v>12-30</v>
      </c>
      <c r="B625" s="0" t="s">
        <v>632</v>
      </c>
    </row>
    <row r="626" customFormat="false" ht="15" hidden="false" customHeight="false" outlineLevel="0" collapsed="false">
      <c r="A626" s="0" t="str">
        <f aca="false">TEXT(1.999,"mm-dd")</f>
        <v>12-31</v>
      </c>
      <c r="B626" s="0" t="s">
        <v>633</v>
      </c>
    </row>
    <row r="627" customFormat="false" ht="15" hidden="false" customHeight="false" outlineLevel="0" collapsed="false">
      <c r="A627" s="0" t="str">
        <f aca="false">TEXT(61,"mm-dd")</f>
        <v>03-01</v>
      </c>
      <c r="B627" s="0" t="s">
        <v>634</v>
      </c>
    </row>
    <row r="628" customFormat="false" ht="15" hidden="false" customHeight="false" outlineLevel="0" collapsed="false">
      <c r="A628" s="0" t="str">
        <f aca="false">TEXT(36526.12345,"mm-dd")</f>
        <v>01-01</v>
      </c>
      <c r="B628" s="0" t="s">
        <v>635</v>
      </c>
    </row>
    <row r="629" customFormat="false" ht="15" hidden="false" customHeight="false" outlineLevel="0" collapsed="false">
      <c r="A629" s="0" t="str">
        <f aca="false">TEXT(0.999999,"mm-dd")</f>
        <v>12-30</v>
      </c>
      <c r="B629" s="0" t="s">
        <v>636</v>
      </c>
    </row>
    <row r="630" customFormat="false" ht="15" hidden="false" customHeight="false" outlineLevel="0" collapsed="false">
      <c r="A630" s="0" t="str">
        <f aca="false">TEXT(-1.5,"mm-dd")</f>
        <v>12-28</v>
      </c>
      <c r="B630" s="0" t="s">
        <v>637</v>
      </c>
    </row>
    <row r="631" customFormat="false" ht="15" hidden="false" customHeight="false" outlineLevel="0" collapsed="false">
      <c r="A631" s="0" t="str">
        <f aca="false">TEXT(45292.5,"dd/mm/yyyy hh:mm:ss")</f>
        <v>01/01/2024 12:00:00</v>
      </c>
      <c r="B631" s="0" t="s">
        <v>638</v>
      </c>
    </row>
    <row r="632" customFormat="false" ht="15" hidden="false" customHeight="false" outlineLevel="0" collapsed="false">
      <c r="A632" s="0" t="str">
        <f aca="false">TEXT(45658.75123,"dd/mm/yyyy hh:mm:ss")</f>
        <v>01/01/2025 18:01:46</v>
      </c>
      <c r="B632" s="0" t="s">
        <v>639</v>
      </c>
    </row>
    <row r="633" customFormat="false" ht="15" hidden="false" customHeight="false" outlineLevel="0" collapsed="false">
      <c r="A633" s="0" t="str">
        <f aca="false">TEXT(0.5,"dd/mm/yyyy hh:mm:ss")</f>
        <v>30/12/1899 12:00:00</v>
      </c>
      <c r="B633" s="0" t="s">
        <v>640</v>
      </c>
    </row>
    <row r="634" customFormat="false" ht="15" hidden="false" customHeight="false" outlineLevel="0" collapsed="false">
      <c r="A634" s="0" t="str">
        <f aca="false">TEXT(1.999,"dd/mm/yyyy hh:mm:ss")</f>
        <v>31/12/1899 23:58:33</v>
      </c>
      <c r="B634" s="0" t="s">
        <v>641</v>
      </c>
    </row>
    <row r="635" customFormat="false" ht="15" hidden="false" customHeight="false" outlineLevel="0" collapsed="false">
      <c r="A635" s="0" t="str">
        <f aca="false">TEXT(61,"dd/mm/yyyy hh:mm:ss")</f>
        <v>01/03/1900 00:00:00</v>
      </c>
      <c r="B635" s="0" t="s">
        <v>642</v>
      </c>
    </row>
    <row r="636" customFormat="false" ht="15" hidden="false" customHeight="false" outlineLevel="0" collapsed="false">
      <c r="A636" s="0" t="str">
        <f aca="false">TEXT(36526.12345,"dd/mm/yyyy hh:mm:ss")</f>
        <v>01/01/2000 02:57:46</v>
      </c>
      <c r="B636" s="0" t="s">
        <v>643</v>
      </c>
    </row>
    <row r="637" customFormat="false" ht="15" hidden="false" customHeight="false" outlineLevel="0" collapsed="false">
      <c r="A637" s="0" t="str">
        <f aca="false">TEXT(0.999999,"dd/mm/yyyy hh:mm:ss")</f>
        <v>30/12/1899 23:59:59</v>
      </c>
      <c r="B637" s="0" t="s">
        <v>644</v>
      </c>
    </row>
    <row r="638" customFormat="false" ht="15" hidden="false" customHeight="false" outlineLevel="0" collapsed="false">
      <c r="A638" s="0" t="str">
        <f aca="false">TEXT(-1.5,"dd/mm/yyyy hh:mm:ss")</f>
        <v>28/12/1899 12:00:00</v>
      </c>
      <c r="B638" s="0" t="s">
        <v>645</v>
      </c>
    </row>
    <row r="639" customFormat="false" ht="15" hidden="false" customHeight="false" outlineLevel="0" collapsed="false">
      <c r="A639" s="0" t="str">
        <f aca="false">TEXT(45292.5,"[hh]:mm:ss")</f>
        <v>1087020:00:00</v>
      </c>
      <c r="B639" s="0" t="s">
        <v>646</v>
      </c>
    </row>
    <row r="640" customFormat="false" ht="15" hidden="false" customHeight="false" outlineLevel="0" collapsed="false">
      <c r="A640" s="0" t="str">
        <f aca="false">TEXT(45658.75123,"[hh]:mm:ss")</f>
        <v>1095810:01:46</v>
      </c>
      <c r="B640" s="0" t="s">
        <v>647</v>
      </c>
    </row>
    <row r="641" customFormat="false" ht="15" hidden="false" customHeight="false" outlineLevel="0" collapsed="false">
      <c r="A641" s="0" t="str">
        <f aca="false">TEXT(0.5,"[hh]:mm:ss")</f>
        <v>12:00:00</v>
      </c>
      <c r="B641" s="0" t="s">
        <v>648</v>
      </c>
    </row>
    <row r="642" customFormat="false" ht="15" hidden="false" customHeight="false" outlineLevel="0" collapsed="false">
      <c r="A642" s="0" t="str">
        <f aca="false">TEXT(1.999,"[hh]:mm:ss")</f>
        <v>47:58:34</v>
      </c>
      <c r="B642" s="0" t="s">
        <v>649</v>
      </c>
    </row>
    <row r="643" customFormat="false" ht="15" hidden="false" customHeight="false" outlineLevel="0" collapsed="false">
      <c r="A643" s="0" t="str">
        <f aca="false">TEXT(61,"[hh]:mm:ss")</f>
        <v>1464:00:00</v>
      </c>
      <c r="B643" s="0" t="s">
        <v>650</v>
      </c>
    </row>
    <row r="644" customFormat="false" ht="15" hidden="false" customHeight="false" outlineLevel="0" collapsed="false">
      <c r="A644" s="0" t="str">
        <f aca="false">TEXT(36526.12345,"[hh]:mm:ss")</f>
        <v>876626:57:46</v>
      </c>
      <c r="B644" s="0" t="s">
        <v>651</v>
      </c>
    </row>
    <row r="645" customFormat="false" ht="15" hidden="false" customHeight="false" outlineLevel="0" collapsed="false">
      <c r="A645" s="0" t="str">
        <f aca="false">TEXT(0.999999,"[hh]:mm:ss")</f>
        <v>24:00:00</v>
      </c>
      <c r="B645" s="0" t="s">
        <v>652</v>
      </c>
    </row>
    <row r="646" customFormat="false" ht="15" hidden="false" customHeight="false" outlineLevel="0" collapsed="false">
      <c r="A646" s="0" t="str">
        <f aca="false">TEXT(-1.5,"[hh]:mm:ss")</f>
        <v>-36:00:00</v>
      </c>
      <c r="B646" s="0" t="s">
        <v>653</v>
      </c>
    </row>
    <row r="647" customFormat="false" ht="15" hidden="false" customHeight="false" outlineLevel="0" collapsed="false">
      <c r="A647" s="0" t="str">
        <f aca="false">TEXT(45292.5,"yyyy""/""mm")</f>
        <v>2024/01</v>
      </c>
      <c r="B647" s="0" t="s">
        <v>654</v>
      </c>
    </row>
    <row r="648" customFormat="false" ht="15" hidden="false" customHeight="false" outlineLevel="0" collapsed="false">
      <c r="A648" s="0" t="str">
        <f aca="false">TEXT(45658.75123,"yyyy""/""mm")</f>
        <v>2025/01</v>
      </c>
      <c r="B648" s="0" t="s">
        <v>655</v>
      </c>
    </row>
    <row r="649" customFormat="false" ht="15" hidden="false" customHeight="false" outlineLevel="0" collapsed="false">
      <c r="A649" s="0" t="str">
        <f aca="false">TEXT(0.5,"yyyy""/""mm")</f>
        <v>1899/12</v>
      </c>
      <c r="B649" s="0" t="s">
        <v>656</v>
      </c>
    </row>
    <row r="650" customFormat="false" ht="15" hidden="false" customHeight="false" outlineLevel="0" collapsed="false">
      <c r="A650" s="0" t="str">
        <f aca="false">TEXT(1.999,"yyyy""/""mm")</f>
        <v>1899/12</v>
      </c>
      <c r="B650" s="0" t="s">
        <v>657</v>
      </c>
    </row>
    <row r="651" customFormat="false" ht="15" hidden="false" customHeight="false" outlineLevel="0" collapsed="false">
      <c r="A651" s="0" t="str">
        <f aca="false">TEXT(61,"yyyy""/""mm")</f>
        <v>1900/03</v>
      </c>
      <c r="B651" s="0" t="s">
        <v>658</v>
      </c>
    </row>
    <row r="652" customFormat="false" ht="15" hidden="false" customHeight="false" outlineLevel="0" collapsed="false">
      <c r="A652" s="0" t="str">
        <f aca="false">TEXT(36526.12345,"yyyy""/""mm")</f>
        <v>2000/01</v>
      </c>
      <c r="B652" s="0" t="s">
        <v>659</v>
      </c>
    </row>
    <row r="653" customFormat="false" ht="15" hidden="false" customHeight="false" outlineLevel="0" collapsed="false">
      <c r="A653" s="0" t="str">
        <f aca="false">TEXT(0.999999,"yyyy""/""mm")</f>
        <v>1899/12</v>
      </c>
      <c r="B653" s="0" t="s">
        <v>660</v>
      </c>
    </row>
    <row r="654" customFormat="false" ht="15" hidden="false" customHeight="false" outlineLevel="0" collapsed="false">
      <c r="A654" s="0" t="str">
        <f aca="false">TEXT(-1.5,"yyyy""/""mm")</f>
        <v>1899/12</v>
      </c>
      <c r="B654" s="0" t="s">
        <v>661</v>
      </c>
    </row>
    <row r="655" customFormat="false" ht="15" hidden="false" customHeight="false" outlineLevel="0" collapsed="false">
      <c r="A655" s="0" t="str">
        <f aca="false">TEXT(45292.5,"ddd, d mmm yyyy")</f>
        <v>lun, 1 ene 2024</v>
      </c>
      <c r="B655" s="0" t="s">
        <v>662</v>
      </c>
    </row>
    <row r="656" customFormat="false" ht="15" hidden="false" customHeight="false" outlineLevel="0" collapsed="false">
      <c r="A656" s="0" t="str">
        <f aca="false">TEXT(45658.75123,"ddd, d mmm yyyy")</f>
        <v>mié, 1 ene 2025</v>
      </c>
      <c r="B656" s="0" t="s">
        <v>663</v>
      </c>
    </row>
    <row r="657" customFormat="false" ht="15" hidden="false" customHeight="false" outlineLevel="0" collapsed="false">
      <c r="A657" s="0" t="str">
        <f aca="false">TEXT(0.5,"ddd, d mmm yyyy")</f>
        <v>sáb, 30 dic 1899</v>
      </c>
      <c r="B657" s="0" t="s">
        <v>664</v>
      </c>
    </row>
    <row r="658" customFormat="false" ht="15" hidden="false" customHeight="false" outlineLevel="0" collapsed="false">
      <c r="A658" s="0" t="str">
        <f aca="false">TEXT(1.999,"ddd, d mmm yyyy")</f>
        <v>dom, 31 dic 1899</v>
      </c>
      <c r="B658" s="0" t="s">
        <v>665</v>
      </c>
    </row>
    <row r="659" customFormat="false" ht="15" hidden="false" customHeight="false" outlineLevel="0" collapsed="false">
      <c r="A659" s="0" t="str">
        <f aca="false">TEXT(61,"ddd, d mmm yyyy")</f>
        <v>jue, 1 mar 1900</v>
      </c>
      <c r="B659" s="0" t="s">
        <v>666</v>
      </c>
    </row>
    <row r="660" customFormat="false" ht="15" hidden="false" customHeight="false" outlineLevel="0" collapsed="false">
      <c r="A660" s="0" t="str">
        <f aca="false">TEXT(36526.12345,"ddd, d mmm yyyy")</f>
        <v>sáb, 1 ene 2000</v>
      </c>
      <c r="B660" s="0" t="s">
        <v>667</v>
      </c>
    </row>
    <row r="661" customFormat="false" ht="15" hidden="false" customHeight="false" outlineLevel="0" collapsed="false">
      <c r="A661" s="0" t="str">
        <f aca="false">TEXT(0.999999,"ddd, d mmm yyyy")</f>
        <v>sáb, 30 dic 1899</v>
      </c>
      <c r="B661" s="0" t="s">
        <v>668</v>
      </c>
    </row>
    <row r="662" customFormat="false" ht="15" hidden="false" customHeight="false" outlineLevel="0" collapsed="false">
      <c r="A662" s="0" t="str">
        <f aca="false">TEXT(-1.5,"ddd, d mmm yyyy")</f>
        <v>jue, 28 dic 1899</v>
      </c>
      <c r="B662" s="0" t="s">
        <v>669</v>
      </c>
    </row>
    <row r="663" customFormat="false" ht="15" hidden="false" customHeight="false" outlineLevel="0" collapsed="false">
      <c r="A663" s="0" t="str">
        <f aca="false">TEXT(45292.5,"mm/dd/yy;@")</f>
        <v>01/01/24</v>
      </c>
      <c r="B663" s="0" t="s">
        <v>670</v>
      </c>
    </row>
    <row r="664" customFormat="false" ht="15" hidden="false" customHeight="false" outlineLevel="0" collapsed="false">
      <c r="A664" s="0" t="str">
        <f aca="false">TEXT(45658.75123,"mm/dd/yy;@")</f>
        <v>01/01/25</v>
      </c>
      <c r="B664" s="0" t="s">
        <v>671</v>
      </c>
    </row>
    <row r="665" customFormat="false" ht="15" hidden="false" customHeight="false" outlineLevel="0" collapsed="false">
      <c r="A665" s="0" t="str">
        <f aca="false">TEXT(0.5,"mm/dd/yy;@")</f>
        <v>12/30/99</v>
      </c>
      <c r="B665" s="0" t="s">
        <v>672</v>
      </c>
    </row>
    <row r="666" customFormat="false" ht="15" hidden="false" customHeight="false" outlineLevel="0" collapsed="false">
      <c r="A666" s="0" t="str">
        <f aca="false">TEXT(1.999,"mm/dd/yy;@")</f>
        <v>12/31/99</v>
      </c>
      <c r="B666" s="0" t="s">
        <v>673</v>
      </c>
    </row>
    <row r="667" customFormat="false" ht="15" hidden="false" customHeight="false" outlineLevel="0" collapsed="false">
      <c r="A667" s="0" t="str">
        <f aca="false">TEXT(61,"mm/dd/yy;@")</f>
        <v>03/01/00</v>
      </c>
      <c r="B667" s="0" t="s">
        <v>674</v>
      </c>
    </row>
    <row r="668" customFormat="false" ht="15" hidden="false" customHeight="false" outlineLevel="0" collapsed="false">
      <c r="A668" s="0" t="str">
        <f aca="false">TEXT(36526.12345,"mm/dd/yy;@")</f>
        <v>01/01/00</v>
      </c>
      <c r="B668" s="0" t="s">
        <v>675</v>
      </c>
    </row>
    <row r="669" customFormat="false" ht="15" hidden="false" customHeight="false" outlineLevel="0" collapsed="false">
      <c r="A669" s="0" t="str">
        <f aca="false">TEXT(0.999999,"mm/dd/yy;@")</f>
        <v>12/30/99</v>
      </c>
      <c r="B669" s="0" t="s">
        <v>676</v>
      </c>
    </row>
    <row r="670" customFormat="false" ht="15" hidden="false" customHeight="false" outlineLevel="0" collapsed="false">
      <c r="A670" s="0" t="str">
        <f aca="false">TEXT(-1.5,"mm/dd/yy;@")</f>
        <v>12/28/99</v>
      </c>
      <c r="B670" s="0" t="s">
        <v>677</v>
      </c>
    </row>
    <row r="671" customFormat="false" ht="15" hidden="false" customHeight="false" outlineLevel="0" collapsed="false">
      <c r="A671" s="0" t="str">
        <f aca="false">TEXT(45292.5,"[$-409]dddd")</f>
        <v>Monday</v>
      </c>
      <c r="B671" s="0" t="s">
        <v>678</v>
      </c>
    </row>
    <row r="672" customFormat="false" ht="15" hidden="false" customHeight="false" outlineLevel="0" collapsed="false">
      <c r="A672" s="0" t="str">
        <f aca="false">TEXT(45658.75123,"[$-409]dddd")</f>
        <v>Wednesday</v>
      </c>
      <c r="B672" s="0" t="s">
        <v>679</v>
      </c>
    </row>
    <row r="673" customFormat="false" ht="15" hidden="false" customHeight="false" outlineLevel="0" collapsed="false">
      <c r="A673" s="0" t="str">
        <f aca="false">TEXT(0.5,"[$-409]dddd")</f>
        <v>Saturday</v>
      </c>
      <c r="B673" s="0" t="s">
        <v>680</v>
      </c>
    </row>
    <row r="674" customFormat="false" ht="15" hidden="false" customHeight="false" outlineLevel="0" collapsed="false">
      <c r="A674" s="0" t="str">
        <f aca="false">TEXT(1.999,"[$-409]dddd")</f>
        <v>Sunday</v>
      </c>
      <c r="B674" s="0" t="s">
        <v>681</v>
      </c>
    </row>
    <row r="675" customFormat="false" ht="15" hidden="false" customHeight="false" outlineLevel="0" collapsed="false">
      <c r="A675" s="0" t="str">
        <f aca="false">TEXT(61,"[$-409]dddd")</f>
        <v>Thursday</v>
      </c>
      <c r="B675" s="0" t="s">
        <v>682</v>
      </c>
    </row>
    <row r="676" customFormat="false" ht="15" hidden="false" customHeight="false" outlineLevel="0" collapsed="false">
      <c r="A676" s="0" t="str">
        <f aca="false">TEXT(36526.12345,"[$-409]dddd")</f>
        <v>Saturday</v>
      </c>
      <c r="B676" s="0" t="s">
        <v>683</v>
      </c>
    </row>
    <row r="677" customFormat="false" ht="15" hidden="false" customHeight="false" outlineLevel="0" collapsed="false">
      <c r="A677" s="0" t="str">
        <f aca="false">TEXT(0.999999,"[$-409]dddd")</f>
        <v>Saturday</v>
      </c>
      <c r="B677" s="0" t="s">
        <v>684</v>
      </c>
    </row>
    <row r="678" customFormat="false" ht="15" hidden="false" customHeight="false" outlineLevel="0" collapsed="false">
      <c r="A678" s="0" t="str">
        <f aca="false">TEXT(-1.5,"[$-409]dddd")</f>
        <v>Thursday</v>
      </c>
      <c r="B678" s="0" t="s">
        <v>685</v>
      </c>
    </row>
    <row r="679" customFormat="false" ht="15" hidden="false" customHeight="false" outlineLevel="0" collapsed="false">
      <c r="A679" s="0" t="str">
        <f aca="false">TEXT(45292.5,"[$-40A]dddd")</f>
        <v>lunes</v>
      </c>
      <c r="B679" s="0" t="s">
        <v>686</v>
      </c>
    </row>
    <row r="680" customFormat="false" ht="15" hidden="false" customHeight="false" outlineLevel="0" collapsed="false">
      <c r="A680" s="0" t="str">
        <f aca="false">TEXT(45658.75123,"[$-40A]dddd")</f>
        <v>miércoles</v>
      </c>
      <c r="B680" s="0" t="s">
        <v>687</v>
      </c>
    </row>
    <row r="681" customFormat="false" ht="15" hidden="false" customHeight="false" outlineLevel="0" collapsed="false">
      <c r="A681" s="0" t="str">
        <f aca="false">TEXT(0.5,"[$-40A]dddd")</f>
        <v>sábado</v>
      </c>
      <c r="B681" s="0" t="s">
        <v>688</v>
      </c>
    </row>
    <row r="682" customFormat="false" ht="15" hidden="false" customHeight="false" outlineLevel="0" collapsed="false">
      <c r="A682" s="0" t="str">
        <f aca="false">TEXT(1.999,"[$-40A]dddd")</f>
        <v>domingo</v>
      </c>
      <c r="B682" s="0" t="s">
        <v>689</v>
      </c>
    </row>
    <row r="683" customFormat="false" ht="15" hidden="false" customHeight="false" outlineLevel="0" collapsed="false">
      <c r="A683" s="0" t="str">
        <f aca="false">TEXT(61,"[$-40A]dddd")</f>
        <v>jueves</v>
      </c>
      <c r="B683" s="0" t="s">
        <v>690</v>
      </c>
    </row>
    <row r="684" customFormat="false" ht="15" hidden="false" customHeight="false" outlineLevel="0" collapsed="false">
      <c r="A684" s="0" t="str">
        <f aca="false">TEXT(36526.12345,"[$-40A]dddd")</f>
        <v>sábado</v>
      </c>
      <c r="B684" s="0" t="s">
        <v>691</v>
      </c>
    </row>
    <row r="685" customFormat="false" ht="15" hidden="false" customHeight="false" outlineLevel="0" collapsed="false">
      <c r="A685" s="0" t="str">
        <f aca="false">TEXT(0.999999,"[$-40A]dddd")</f>
        <v>sábado</v>
      </c>
      <c r="B685" s="0" t="s">
        <v>692</v>
      </c>
    </row>
    <row r="686" customFormat="false" ht="15" hidden="false" customHeight="false" outlineLevel="0" collapsed="false">
      <c r="A686" s="0" t="str">
        <f aca="false">TEXT(-1.5,"[$-40A]dddd")</f>
        <v>jueves</v>
      </c>
      <c r="B686" s="0" t="s">
        <v>693</v>
      </c>
    </row>
    <row r="687" customFormat="false" ht="15" hidden="false" customHeight="false" outlineLevel="0" collapsed="false">
      <c r="A687" s="0" t="str">
        <f aca="false">TEXT(45292.5,"h:mm:ss;@")</f>
        <v>12:00:00</v>
      </c>
      <c r="B687" s="0" t="s">
        <v>694</v>
      </c>
    </row>
    <row r="688" customFormat="false" ht="15" hidden="false" customHeight="false" outlineLevel="0" collapsed="false">
      <c r="A688" s="0" t="str">
        <f aca="false">TEXT(45658.75123,"h:mm:ss;@")</f>
        <v>18:01:46</v>
      </c>
      <c r="B688" s="0" t="s">
        <v>695</v>
      </c>
    </row>
    <row r="689" customFormat="false" ht="15" hidden="false" customHeight="false" outlineLevel="0" collapsed="false">
      <c r="A689" s="0" t="str">
        <f aca="false">TEXT(0.5,"h:mm:ss;@")</f>
        <v>12:00:00</v>
      </c>
      <c r="B689" s="0" t="s">
        <v>696</v>
      </c>
    </row>
    <row r="690" customFormat="false" ht="15" hidden="false" customHeight="false" outlineLevel="0" collapsed="false">
      <c r="A690" s="0" t="str">
        <f aca="false">TEXT(1.999,"h:mm:ss;@")</f>
        <v>23:58:33</v>
      </c>
      <c r="B690" s="0" t="s">
        <v>697</v>
      </c>
    </row>
    <row r="691" customFormat="false" ht="15" hidden="false" customHeight="false" outlineLevel="0" collapsed="false">
      <c r="A691" s="0" t="str">
        <f aca="false">TEXT(61,"h:mm:ss;@")</f>
        <v>0:00:00</v>
      </c>
      <c r="B691" s="0" t="s">
        <v>698</v>
      </c>
    </row>
    <row r="692" customFormat="false" ht="15" hidden="false" customHeight="false" outlineLevel="0" collapsed="false">
      <c r="A692" s="0" t="str">
        <f aca="false">TEXT(36526.12345,"h:mm:ss;@")</f>
        <v>2:57:46</v>
      </c>
      <c r="B692" s="0" t="s">
        <v>699</v>
      </c>
    </row>
    <row r="693" customFormat="false" ht="15" hidden="false" customHeight="false" outlineLevel="0" collapsed="false">
      <c r="A693" s="0" t="str">
        <f aca="false">TEXT(0.999999,"h:mm:ss;@")</f>
        <v>23:59:59</v>
      </c>
      <c r="B693" s="0" t="s">
        <v>700</v>
      </c>
    </row>
    <row r="694" customFormat="false" ht="15" hidden="false" customHeight="false" outlineLevel="0" collapsed="false">
      <c r="A694" s="0" t="str">
        <f aca="false">TEXT(-1.5,"h:mm:ss;@")</f>
        <v>12:00:00</v>
      </c>
      <c r="B694" s="0" t="s">
        <v>701</v>
      </c>
    </row>
    <row r="695" customFormat="false" ht="15" hidden="false" customHeight="false" outlineLevel="0" collapsed="false">
      <c r="A695" s="0" t="str">
        <f aca="false">TEXT(45292.5,"[Red]yyyy")</f>
        <v>2024</v>
      </c>
      <c r="B695" s="0" t="s">
        <v>702</v>
      </c>
    </row>
    <row r="696" customFormat="false" ht="15" hidden="false" customHeight="false" outlineLevel="0" collapsed="false">
      <c r="A696" s="0" t="str">
        <f aca="false">TEXT(45658.75123,"[Red]yyyy")</f>
        <v>2025</v>
      </c>
      <c r="B696" s="0" t="s">
        <v>703</v>
      </c>
    </row>
    <row r="697" customFormat="false" ht="15" hidden="false" customHeight="false" outlineLevel="0" collapsed="false">
      <c r="A697" s="0" t="str">
        <f aca="false">TEXT(0.5,"[Red]yyyy")</f>
        <v>1899</v>
      </c>
      <c r="B697" s="0" t="s">
        <v>704</v>
      </c>
    </row>
    <row r="698" customFormat="false" ht="15" hidden="false" customHeight="false" outlineLevel="0" collapsed="false">
      <c r="A698" s="0" t="str">
        <f aca="false">TEXT(1.999,"[Red]yyyy")</f>
        <v>1899</v>
      </c>
      <c r="B698" s="0" t="s">
        <v>705</v>
      </c>
    </row>
    <row r="699" customFormat="false" ht="15" hidden="false" customHeight="false" outlineLevel="0" collapsed="false">
      <c r="A699" s="0" t="str">
        <f aca="false">TEXT(61,"[Red]yyyy")</f>
        <v>1900</v>
      </c>
      <c r="B699" s="0" t="s">
        <v>706</v>
      </c>
    </row>
    <row r="700" customFormat="false" ht="15" hidden="false" customHeight="false" outlineLevel="0" collapsed="false">
      <c r="A700" s="0" t="str">
        <f aca="false">TEXT(36526.12345,"[Red]yyyy")</f>
        <v>2000</v>
      </c>
      <c r="B700" s="0" t="s">
        <v>707</v>
      </c>
    </row>
    <row r="701" customFormat="false" ht="15" hidden="false" customHeight="false" outlineLevel="0" collapsed="false">
      <c r="A701" s="0" t="str">
        <f aca="false">TEXT(0.999999,"[Red]yyyy")</f>
        <v>1899</v>
      </c>
      <c r="B701" s="0" t="s">
        <v>708</v>
      </c>
    </row>
    <row r="702" customFormat="false" ht="15" hidden="false" customHeight="false" outlineLevel="0" collapsed="false">
      <c r="A702" s="0" t="str">
        <f aca="false">TEXT(-1.5,"[Red]yyyy")</f>
        <v>1899</v>
      </c>
      <c r="B702" s="0" t="s">
        <v>709</v>
      </c>
    </row>
    <row r="703" customFormat="false" ht="15" hidden="false" customHeight="false" outlineLevel="0" collapsed="false">
      <c r="A703" s="0" t="e">
        <f aca="false">TEXT(45292.5,"yyyy [Blue]")</f>
        <v>#VALUE!</v>
      </c>
      <c r="B703" s="0" t="s">
        <v>710</v>
      </c>
    </row>
    <row r="704" customFormat="false" ht="15" hidden="false" customHeight="false" outlineLevel="0" collapsed="false">
      <c r="A704" s="0" t="e">
        <f aca="false">TEXT(45658.75123,"yyyy [Blue]")</f>
        <v>#VALUE!</v>
      </c>
      <c r="B704" s="0" t="s">
        <v>711</v>
      </c>
    </row>
    <row r="705" customFormat="false" ht="15" hidden="false" customHeight="false" outlineLevel="0" collapsed="false">
      <c r="A705" s="0" t="e">
        <f aca="false">TEXT(0.5,"yyyy [Blue]")</f>
        <v>#VALUE!</v>
      </c>
      <c r="B705" s="0" t="s">
        <v>712</v>
      </c>
    </row>
    <row r="706" customFormat="false" ht="15" hidden="false" customHeight="false" outlineLevel="0" collapsed="false">
      <c r="A706" s="0" t="e">
        <f aca="false">TEXT(1.999,"yyyy [Blue]")</f>
        <v>#VALUE!</v>
      </c>
      <c r="B706" s="0" t="s">
        <v>713</v>
      </c>
    </row>
    <row r="707" customFormat="false" ht="15" hidden="false" customHeight="false" outlineLevel="0" collapsed="false">
      <c r="A707" s="0" t="e">
        <f aca="false">TEXT(61,"yyyy [Blue]")</f>
        <v>#VALUE!</v>
      </c>
      <c r="B707" s="0" t="s">
        <v>714</v>
      </c>
    </row>
    <row r="708" customFormat="false" ht="15" hidden="false" customHeight="false" outlineLevel="0" collapsed="false">
      <c r="A708" s="0" t="e">
        <f aca="false">TEXT(36526.12345,"yyyy [Blue]")</f>
        <v>#VALUE!</v>
      </c>
      <c r="B708" s="0" t="s">
        <v>715</v>
      </c>
    </row>
    <row r="709" customFormat="false" ht="15" hidden="false" customHeight="false" outlineLevel="0" collapsed="false">
      <c r="A709" s="0" t="e">
        <f aca="false">TEXT(0.999999,"yyyy [Blue]")</f>
        <v>#VALUE!</v>
      </c>
      <c r="B709" s="0" t="s">
        <v>716</v>
      </c>
    </row>
    <row r="710" customFormat="false" ht="15" hidden="false" customHeight="false" outlineLevel="0" collapsed="false">
      <c r="A710" s="0" t="e">
        <f aca="false">TEXT(-1.5,"yyyy [Blue]")</f>
        <v>#VALUE!</v>
      </c>
      <c r="B710" s="0" t="s">
        <v>717</v>
      </c>
    </row>
    <row r="711" customFormat="false" ht="15" hidden="false" customHeight="false" outlineLevel="0" collapsed="false">
      <c r="A711" s="0" t="str">
        <f aca="false">TEXT(45292.5,"0.0 ""h""")</f>
        <v>45.293 h</v>
      </c>
      <c r="B711" s="0" t="s">
        <v>718</v>
      </c>
    </row>
    <row r="712" customFormat="false" ht="15" hidden="false" customHeight="false" outlineLevel="0" collapsed="false">
      <c r="A712" s="0" t="str">
        <f aca="false">TEXT(45658.75123,"0.0 ""h""")</f>
        <v>45.659 h</v>
      </c>
      <c r="B712" s="0" t="s">
        <v>719</v>
      </c>
    </row>
    <row r="713" customFormat="false" ht="15" hidden="false" customHeight="false" outlineLevel="0" collapsed="false">
      <c r="A713" s="0" t="str">
        <f aca="false">TEXT(0.5,"0.0 ""h""")</f>
        <v>01 h</v>
      </c>
      <c r="B713" s="0" t="s">
        <v>720</v>
      </c>
    </row>
    <row r="714" customFormat="false" ht="15" hidden="false" customHeight="false" outlineLevel="0" collapsed="false">
      <c r="A714" s="0" t="str">
        <f aca="false">TEXT(1.999,"0.0 ""h""")</f>
        <v>02 h</v>
      </c>
      <c r="B714" s="0" t="s">
        <v>721</v>
      </c>
    </row>
    <row r="715" customFormat="false" ht="15" hidden="false" customHeight="false" outlineLevel="0" collapsed="false">
      <c r="A715" s="0" t="str">
        <f aca="false">TEXT(61,"0.0 ""h""")</f>
        <v>61 h</v>
      </c>
      <c r="B715" s="0" t="s">
        <v>722</v>
      </c>
    </row>
    <row r="716" customFormat="false" ht="15" hidden="false" customHeight="false" outlineLevel="0" collapsed="false">
      <c r="A716" s="0" t="str">
        <f aca="false">TEXT(36526.12345,"0.0 ""h""")</f>
        <v>36.526 h</v>
      </c>
      <c r="B716" s="0" t="s">
        <v>723</v>
      </c>
    </row>
    <row r="717" customFormat="false" ht="15" hidden="false" customHeight="false" outlineLevel="0" collapsed="false">
      <c r="A717" s="0" t="str">
        <f aca="false">TEXT(0.999999,"0.0 ""h""")</f>
        <v>01 h</v>
      </c>
      <c r="B717" s="0" t="s">
        <v>724</v>
      </c>
    </row>
    <row r="718" customFormat="false" ht="15" hidden="false" customHeight="false" outlineLevel="0" collapsed="false">
      <c r="A718" s="0" t="str">
        <f aca="false">TEXT(-1.5,"0.0 ""h""")</f>
        <v>-02 h</v>
      </c>
      <c r="B718" s="0" t="s">
        <v>725</v>
      </c>
    </row>
    <row r="719" customFormat="false" ht="15" hidden="false" customHeight="false" outlineLevel="0" collapsed="false">
      <c r="A719" s="0" t="str">
        <f aca="false">TEXT(45292.5,"d ""de"" mmmm ""de"" yyyy")</f>
        <v>1 de enero de 2024</v>
      </c>
      <c r="B719" s="0" t="s">
        <v>726</v>
      </c>
    </row>
    <row r="720" customFormat="false" ht="15" hidden="false" customHeight="false" outlineLevel="0" collapsed="false">
      <c r="A720" s="0" t="str">
        <f aca="false">TEXT(45658.75123,"d ""de"" mmmm ""de"" yyyy")</f>
        <v>1 de enero de 2025</v>
      </c>
      <c r="B720" s="0" t="s">
        <v>727</v>
      </c>
    </row>
    <row r="721" customFormat="false" ht="15" hidden="false" customHeight="false" outlineLevel="0" collapsed="false">
      <c r="A721" s="0" t="str">
        <f aca="false">TEXT(0.5,"d ""de"" mmmm ""de"" yyyy")</f>
        <v>30 de diciembre de 1899</v>
      </c>
      <c r="B721" s="0" t="s">
        <v>728</v>
      </c>
    </row>
    <row r="722" customFormat="false" ht="15" hidden="false" customHeight="false" outlineLevel="0" collapsed="false">
      <c r="A722" s="0" t="str">
        <f aca="false">TEXT(1.999,"d ""de"" mmmm ""de"" yyyy")</f>
        <v>31 de diciembre de 1899</v>
      </c>
      <c r="B722" s="0" t="s">
        <v>729</v>
      </c>
    </row>
    <row r="723" customFormat="false" ht="15" hidden="false" customHeight="false" outlineLevel="0" collapsed="false">
      <c r="A723" s="0" t="str">
        <f aca="false">TEXT(61,"d ""de"" mmmm ""de"" yyyy")</f>
        <v>1 de marzo de 1900</v>
      </c>
      <c r="B723" s="0" t="s">
        <v>730</v>
      </c>
    </row>
    <row r="724" customFormat="false" ht="15" hidden="false" customHeight="false" outlineLevel="0" collapsed="false">
      <c r="A724" s="0" t="str">
        <f aca="false">TEXT(36526.12345,"d ""de"" mmmm ""de"" yyyy")</f>
        <v>1 de enero de 2000</v>
      </c>
      <c r="B724" s="0" t="s">
        <v>731</v>
      </c>
    </row>
    <row r="725" customFormat="false" ht="15" hidden="false" customHeight="false" outlineLevel="0" collapsed="false">
      <c r="A725" s="0" t="str">
        <f aca="false">TEXT(0.999999,"d ""de"" mmmm ""de"" yyyy")</f>
        <v>30 de diciembre de 1899</v>
      </c>
      <c r="B725" s="0" t="s">
        <v>732</v>
      </c>
    </row>
    <row r="726" customFormat="false" ht="15" hidden="false" customHeight="false" outlineLevel="0" collapsed="false">
      <c r="A726" s="0" t="str">
        <f aca="false">TEXT(-1.5,"d ""de"" mmmm ""de"" yyyy")</f>
        <v>28 de diciembre de 1899</v>
      </c>
      <c r="B726" s="0" t="s">
        <v>733</v>
      </c>
    </row>
    <row r="727" customFormat="false" ht="15" hidden="false" customHeight="false" outlineLevel="0" collapsed="false">
      <c r="A727" s="0" t="str">
        <f aca="false">TEXT(45292.5,"hh""h""mm")</f>
        <v>12h00</v>
      </c>
      <c r="B727" s="0" t="s">
        <v>734</v>
      </c>
    </row>
    <row r="728" customFormat="false" ht="15" hidden="false" customHeight="false" outlineLevel="0" collapsed="false">
      <c r="A728" s="0" t="str">
        <f aca="false">TEXT(45658.75123,"hh""h""mm")</f>
        <v>18h01</v>
      </c>
      <c r="B728" s="0" t="s">
        <v>735</v>
      </c>
    </row>
    <row r="729" customFormat="false" ht="15" hidden="false" customHeight="false" outlineLevel="0" collapsed="false">
      <c r="A729" s="0" t="str">
        <f aca="false">TEXT(0.5,"hh""h""mm")</f>
        <v>12h00</v>
      </c>
      <c r="B729" s="0" t="s">
        <v>736</v>
      </c>
    </row>
    <row r="730" customFormat="false" ht="15" hidden="false" customHeight="false" outlineLevel="0" collapsed="false">
      <c r="A730" s="0" t="str">
        <f aca="false">TEXT(1.999,"hh""h""mm")</f>
        <v>23h58</v>
      </c>
      <c r="B730" s="0" t="s">
        <v>737</v>
      </c>
    </row>
    <row r="731" customFormat="false" ht="15" hidden="false" customHeight="false" outlineLevel="0" collapsed="false">
      <c r="A731" s="0" t="str">
        <f aca="false">TEXT(61,"hh""h""mm")</f>
        <v>00h00</v>
      </c>
      <c r="B731" s="0" t="s">
        <v>738</v>
      </c>
    </row>
    <row r="732" customFormat="false" ht="15" hidden="false" customHeight="false" outlineLevel="0" collapsed="false">
      <c r="A732" s="0" t="str">
        <f aca="false">TEXT(36526.12345,"hh""h""mm")</f>
        <v>02h57</v>
      </c>
      <c r="B732" s="0" t="s">
        <v>739</v>
      </c>
    </row>
    <row r="733" customFormat="false" ht="15" hidden="false" customHeight="false" outlineLevel="0" collapsed="false">
      <c r="A733" s="0" t="str">
        <f aca="false">TEXT(0.999999,"hh""h""mm")</f>
        <v>23h59</v>
      </c>
      <c r="B733" s="0" t="s">
        <v>740</v>
      </c>
    </row>
    <row r="734" customFormat="false" ht="15" hidden="false" customHeight="false" outlineLevel="0" collapsed="false">
      <c r="A734" s="0" t="str">
        <f aca="false">TEXT(-1.5,"hh""h""mm")</f>
        <v>12h00</v>
      </c>
      <c r="B734" s="0" t="s">
        <v>741</v>
      </c>
    </row>
    <row r="735" customFormat="false" ht="15" hidden="false" customHeight="false" outlineLevel="0" collapsed="false">
      <c r="A735" s="0" t="str">
        <f aca="false">TEXT(45292.5,"nn")</f>
        <v>lun</v>
      </c>
      <c r="B735" s="0" t="s">
        <v>742</v>
      </c>
    </row>
    <row r="736" customFormat="false" ht="15" hidden="false" customHeight="false" outlineLevel="0" collapsed="false">
      <c r="A736" s="0" t="str">
        <f aca="false">TEXT(45658.75123,"nn")</f>
        <v>mié</v>
      </c>
      <c r="B736" s="0" t="s">
        <v>743</v>
      </c>
    </row>
    <row r="737" customFormat="false" ht="15" hidden="false" customHeight="false" outlineLevel="0" collapsed="false">
      <c r="A737" s="0" t="str">
        <f aca="false">TEXT(0.5,"nn")</f>
        <v>sáb</v>
      </c>
      <c r="B737" s="0" t="s">
        <v>744</v>
      </c>
    </row>
    <row r="738" customFormat="false" ht="15" hidden="false" customHeight="false" outlineLevel="0" collapsed="false">
      <c r="A738" s="0" t="str">
        <f aca="false">TEXT(1.999,"nn")</f>
        <v>dom</v>
      </c>
      <c r="B738" s="0" t="s">
        <v>745</v>
      </c>
    </row>
    <row r="739" customFormat="false" ht="15" hidden="false" customHeight="false" outlineLevel="0" collapsed="false">
      <c r="A739" s="0" t="str">
        <f aca="false">TEXT(61,"nn")</f>
        <v>jue</v>
      </c>
      <c r="B739" s="0" t="s">
        <v>746</v>
      </c>
    </row>
    <row r="740" customFormat="false" ht="15" hidden="false" customHeight="false" outlineLevel="0" collapsed="false">
      <c r="A740" s="0" t="str">
        <f aca="false">TEXT(36526.12345,"nn")</f>
        <v>sáb</v>
      </c>
      <c r="B740" s="0" t="s">
        <v>747</v>
      </c>
    </row>
    <row r="741" customFormat="false" ht="15" hidden="false" customHeight="false" outlineLevel="0" collapsed="false">
      <c r="A741" s="0" t="str">
        <f aca="false">TEXT(0.999999,"nn")</f>
        <v>sáb</v>
      </c>
      <c r="B741" s="0" t="s">
        <v>748</v>
      </c>
    </row>
    <row r="742" customFormat="false" ht="15" hidden="false" customHeight="false" outlineLevel="0" collapsed="false">
      <c r="A742" s="0" t="str">
        <f aca="false">TEXT(-1.5,"nn")</f>
        <v>jue</v>
      </c>
      <c r="B742" s="0" t="s">
        <v>749</v>
      </c>
    </row>
    <row r="743" customFormat="false" ht="15" hidden="false" customHeight="false" outlineLevel="0" collapsed="false">
      <c r="A743" s="0" t="str">
        <f aca="false">TEXT(45292.5,"NN")</f>
        <v>lun</v>
      </c>
      <c r="B743" s="0" t="s">
        <v>750</v>
      </c>
    </row>
    <row r="744" customFormat="false" ht="15" hidden="false" customHeight="false" outlineLevel="0" collapsed="false">
      <c r="A744" s="0" t="str">
        <f aca="false">TEXT(45658.75123,"NN")</f>
        <v>mié</v>
      </c>
      <c r="B744" s="0" t="s">
        <v>751</v>
      </c>
    </row>
    <row r="745" customFormat="false" ht="15" hidden="false" customHeight="false" outlineLevel="0" collapsed="false">
      <c r="A745" s="0" t="str">
        <f aca="false">TEXT(0.5,"NN")</f>
        <v>sáb</v>
      </c>
      <c r="B745" s="0" t="s">
        <v>752</v>
      </c>
    </row>
    <row r="746" customFormat="false" ht="15" hidden="false" customHeight="false" outlineLevel="0" collapsed="false">
      <c r="A746" s="0" t="str">
        <f aca="false">TEXT(1.999,"NN")</f>
        <v>dom</v>
      </c>
      <c r="B746" s="0" t="s">
        <v>753</v>
      </c>
    </row>
    <row r="747" customFormat="false" ht="15" hidden="false" customHeight="false" outlineLevel="0" collapsed="false">
      <c r="A747" s="0" t="str">
        <f aca="false">TEXT(61,"NN")</f>
        <v>jue</v>
      </c>
      <c r="B747" s="0" t="s">
        <v>754</v>
      </c>
    </row>
    <row r="748" customFormat="false" ht="15" hidden="false" customHeight="false" outlineLevel="0" collapsed="false">
      <c r="A748" s="0" t="str">
        <f aca="false">TEXT(36526.12345,"NN")</f>
        <v>sáb</v>
      </c>
      <c r="B748" s="0" t="s">
        <v>755</v>
      </c>
    </row>
    <row r="749" customFormat="false" ht="15" hidden="false" customHeight="false" outlineLevel="0" collapsed="false">
      <c r="A749" s="0" t="str">
        <f aca="false">TEXT(0.999999,"NN")</f>
        <v>sáb</v>
      </c>
      <c r="B749" s="0" t="s">
        <v>756</v>
      </c>
    </row>
    <row r="750" customFormat="false" ht="15" hidden="false" customHeight="false" outlineLevel="0" collapsed="false">
      <c r="A750" s="0" t="str">
        <f aca="false">TEXT(-1.5,"NN")</f>
        <v>jue</v>
      </c>
      <c r="B750" s="0" t="s">
        <v>757</v>
      </c>
    </row>
    <row r="751" customFormat="false" ht="15" hidden="false" customHeight="false" outlineLevel="0" collapsed="false">
      <c r="A751" s="0" t="str">
        <f aca="false">TEXT(45292.5,"DDDD")</f>
        <v>lunes</v>
      </c>
      <c r="B751" s="0" t="s">
        <v>758</v>
      </c>
    </row>
    <row r="752" customFormat="false" ht="15" hidden="false" customHeight="false" outlineLevel="0" collapsed="false">
      <c r="A752" s="0" t="str">
        <f aca="false">TEXT(45658.75123,"DDDD")</f>
        <v>miércoles</v>
      </c>
      <c r="B752" s="0" t="s">
        <v>759</v>
      </c>
    </row>
    <row r="753" customFormat="false" ht="15" hidden="false" customHeight="false" outlineLevel="0" collapsed="false">
      <c r="A753" s="0" t="str">
        <f aca="false">TEXT(0.5,"DDDD")</f>
        <v>sábado</v>
      </c>
      <c r="B753" s="0" t="s">
        <v>760</v>
      </c>
    </row>
    <row r="754" customFormat="false" ht="15" hidden="false" customHeight="false" outlineLevel="0" collapsed="false">
      <c r="A754" s="0" t="str">
        <f aca="false">TEXT(1.999,"DDDD")</f>
        <v>domingo</v>
      </c>
      <c r="B754" s="0" t="s">
        <v>761</v>
      </c>
    </row>
    <row r="755" customFormat="false" ht="15" hidden="false" customHeight="false" outlineLevel="0" collapsed="false">
      <c r="A755" s="0" t="str">
        <f aca="false">TEXT(61,"DDDD")</f>
        <v>jueves</v>
      </c>
      <c r="B755" s="0" t="s">
        <v>762</v>
      </c>
    </row>
    <row r="756" customFormat="false" ht="15" hidden="false" customHeight="false" outlineLevel="0" collapsed="false">
      <c r="A756" s="0" t="str">
        <f aca="false">TEXT(36526.12345,"DDDD")</f>
        <v>sábado</v>
      </c>
      <c r="B756" s="0" t="s">
        <v>763</v>
      </c>
    </row>
    <row r="757" customFormat="false" ht="15" hidden="false" customHeight="false" outlineLevel="0" collapsed="false">
      <c r="A757" s="0" t="str">
        <f aca="false">TEXT(0.999999,"DDDD")</f>
        <v>sábado</v>
      </c>
      <c r="B757" s="0" t="s">
        <v>764</v>
      </c>
    </row>
    <row r="758" customFormat="false" ht="15" hidden="false" customHeight="false" outlineLevel="0" collapsed="false">
      <c r="A758" s="0" t="str">
        <f aca="false">TEXT(-1.5,"DDDD")</f>
        <v>jueves</v>
      </c>
      <c r="B758" s="0" t="s">
        <v>765</v>
      </c>
    </row>
    <row r="759" customFormat="false" ht="15" hidden="false" customHeight="false" outlineLevel="0" collapsed="false">
      <c r="A759" s="0" t="str">
        <f aca="false">TEXT(45292.5,"MMMM")</f>
        <v>enero</v>
      </c>
      <c r="B759" s="0" t="s">
        <v>766</v>
      </c>
    </row>
    <row r="760" customFormat="false" ht="15" hidden="false" customHeight="false" outlineLevel="0" collapsed="false">
      <c r="A760" s="0" t="str">
        <f aca="false">TEXT(45658.75123,"MMMM")</f>
        <v>enero</v>
      </c>
      <c r="B760" s="0" t="s">
        <v>767</v>
      </c>
    </row>
    <row r="761" customFormat="false" ht="15" hidden="false" customHeight="false" outlineLevel="0" collapsed="false">
      <c r="A761" s="0" t="str">
        <f aca="false">TEXT(0.5,"MMMM")</f>
        <v>diciembre</v>
      </c>
      <c r="B761" s="0" t="s">
        <v>768</v>
      </c>
    </row>
    <row r="762" customFormat="false" ht="15" hidden="false" customHeight="false" outlineLevel="0" collapsed="false">
      <c r="A762" s="0" t="str">
        <f aca="false">TEXT(1.999,"MMMM")</f>
        <v>diciembre</v>
      </c>
      <c r="B762" s="0" t="s">
        <v>769</v>
      </c>
    </row>
    <row r="763" customFormat="false" ht="15" hidden="false" customHeight="false" outlineLevel="0" collapsed="false">
      <c r="A763" s="0" t="str">
        <f aca="false">TEXT(61,"MMMM")</f>
        <v>marzo</v>
      </c>
      <c r="B763" s="0" t="s">
        <v>770</v>
      </c>
    </row>
    <row r="764" customFormat="false" ht="15" hidden="false" customHeight="false" outlineLevel="0" collapsed="false">
      <c r="A764" s="0" t="str">
        <f aca="false">TEXT(36526.12345,"MMMM")</f>
        <v>enero</v>
      </c>
      <c r="B764" s="0" t="s">
        <v>771</v>
      </c>
    </row>
    <row r="765" customFormat="false" ht="15" hidden="false" customHeight="false" outlineLevel="0" collapsed="false">
      <c r="A765" s="0" t="str">
        <f aca="false">TEXT(0.999999,"MMMM")</f>
        <v>diciembre</v>
      </c>
      <c r="B765" s="0" t="s">
        <v>772</v>
      </c>
    </row>
    <row r="766" customFormat="false" ht="15" hidden="false" customHeight="false" outlineLevel="0" collapsed="false">
      <c r="A766" s="0" t="str">
        <f aca="false">TEXT(-1.5,"MMMM")</f>
        <v>diciembre</v>
      </c>
      <c r="B766" s="0" t="s">
        <v>773</v>
      </c>
    </row>
    <row r="767" customFormat="false" ht="15" hidden="false" customHeight="false" outlineLevel="0" collapsed="false">
      <c r="A767" s="0" t="str">
        <f aca="false">TEXT(45292.5,"YYYY")</f>
        <v>2024</v>
      </c>
      <c r="B767" s="0" t="s">
        <v>774</v>
      </c>
    </row>
    <row r="768" customFormat="false" ht="15" hidden="false" customHeight="false" outlineLevel="0" collapsed="false">
      <c r="A768" s="0" t="str">
        <f aca="false">TEXT(45658.75123,"YYYY")</f>
        <v>2025</v>
      </c>
      <c r="B768" s="0" t="s">
        <v>775</v>
      </c>
    </row>
    <row r="769" customFormat="false" ht="15" hidden="false" customHeight="false" outlineLevel="0" collapsed="false">
      <c r="A769" s="0" t="str">
        <f aca="false">TEXT(0.5,"YYYY")</f>
        <v>1899</v>
      </c>
      <c r="B769" s="0" t="s">
        <v>776</v>
      </c>
    </row>
    <row r="770" customFormat="false" ht="15" hidden="false" customHeight="false" outlineLevel="0" collapsed="false">
      <c r="A770" s="0" t="str">
        <f aca="false">TEXT(1.999,"YYYY")</f>
        <v>1899</v>
      </c>
      <c r="B770" s="0" t="s">
        <v>777</v>
      </c>
    </row>
    <row r="771" customFormat="false" ht="15" hidden="false" customHeight="false" outlineLevel="0" collapsed="false">
      <c r="A771" s="0" t="str">
        <f aca="false">TEXT(61,"YYYY")</f>
        <v>1900</v>
      </c>
      <c r="B771" s="0" t="s">
        <v>778</v>
      </c>
    </row>
    <row r="772" customFormat="false" ht="15" hidden="false" customHeight="false" outlineLevel="0" collapsed="false">
      <c r="A772" s="0" t="str">
        <f aca="false">TEXT(36526.12345,"YYYY")</f>
        <v>2000</v>
      </c>
      <c r="B772" s="0" t="s">
        <v>779</v>
      </c>
    </row>
    <row r="773" customFormat="false" ht="15" hidden="false" customHeight="false" outlineLevel="0" collapsed="false">
      <c r="A773" s="0" t="str">
        <f aca="false">TEXT(0.999999,"YYYY")</f>
        <v>1899</v>
      </c>
      <c r="B773" s="0" t="s">
        <v>780</v>
      </c>
    </row>
    <row r="774" customFormat="false" ht="15" hidden="false" customHeight="false" outlineLevel="0" collapsed="false">
      <c r="A774" s="0" t="str">
        <f aca="false">TEXT(-1.5,"YYYY")</f>
        <v>1899</v>
      </c>
      <c r="B774" s="0" t="s">
        <v>781</v>
      </c>
    </row>
    <row r="775" customFormat="false" ht="15" hidden="false" customHeight="false" outlineLevel="0" collapsed="false">
      <c r="A775" s="0" t="str">
        <f aca="false">TEXT(45292.5,"H:MM")</f>
        <v>12:00</v>
      </c>
      <c r="B775" s="0" t="s">
        <v>782</v>
      </c>
    </row>
    <row r="776" customFormat="false" ht="15" hidden="false" customHeight="false" outlineLevel="0" collapsed="false">
      <c r="A776" s="0" t="str">
        <f aca="false">TEXT(45658.75123,"H:MM")</f>
        <v>18:01</v>
      </c>
      <c r="B776" s="0" t="s">
        <v>783</v>
      </c>
    </row>
    <row r="777" customFormat="false" ht="15" hidden="false" customHeight="false" outlineLevel="0" collapsed="false">
      <c r="A777" s="0" t="str">
        <f aca="false">TEXT(0.5,"H:MM")</f>
        <v>12:00</v>
      </c>
      <c r="B777" s="0" t="s">
        <v>784</v>
      </c>
    </row>
    <row r="778" customFormat="false" ht="15" hidden="false" customHeight="false" outlineLevel="0" collapsed="false">
      <c r="A778" s="0" t="str">
        <f aca="false">TEXT(1.999,"H:MM")</f>
        <v>23:58</v>
      </c>
      <c r="B778" s="0" t="s">
        <v>785</v>
      </c>
    </row>
    <row r="779" customFormat="false" ht="15" hidden="false" customHeight="false" outlineLevel="0" collapsed="false">
      <c r="A779" s="0" t="str">
        <f aca="false">TEXT(61,"H:MM")</f>
        <v>0:00</v>
      </c>
      <c r="B779" s="0" t="s">
        <v>786</v>
      </c>
    </row>
    <row r="780" customFormat="false" ht="15" hidden="false" customHeight="false" outlineLevel="0" collapsed="false">
      <c r="A780" s="0" t="str">
        <f aca="false">TEXT(36526.12345,"H:MM")</f>
        <v>2:57</v>
      </c>
      <c r="B780" s="0" t="s">
        <v>787</v>
      </c>
    </row>
    <row r="781" customFormat="false" ht="15" hidden="false" customHeight="false" outlineLevel="0" collapsed="false">
      <c r="A781" s="0" t="str">
        <f aca="false">TEXT(0.999999,"H:MM")</f>
        <v>23:59</v>
      </c>
      <c r="B781" s="0" t="s">
        <v>788</v>
      </c>
    </row>
    <row r="782" customFormat="false" ht="15" hidden="false" customHeight="false" outlineLevel="0" collapsed="false">
      <c r="A782" s="0" t="str">
        <f aca="false">TEXT(-1.5,"H:MM")</f>
        <v>12:00</v>
      </c>
      <c r="B782" s="0" t="s">
        <v>789</v>
      </c>
    </row>
    <row r="783" customFormat="false" ht="15" hidden="false" customHeight="false" outlineLevel="0" collapsed="false">
      <c r="A783" s="0" t="str">
        <f aca="false">TEXT(45292.5,"ss")</f>
        <v>00</v>
      </c>
      <c r="B783" s="0" t="s">
        <v>790</v>
      </c>
    </row>
    <row r="784" customFormat="false" ht="15" hidden="false" customHeight="false" outlineLevel="0" collapsed="false">
      <c r="A784" s="0" t="str">
        <f aca="false">TEXT(45658.75123,"ss")</f>
        <v>46</v>
      </c>
      <c r="B784" s="0" t="s">
        <v>791</v>
      </c>
    </row>
    <row r="785" customFormat="false" ht="15" hidden="false" customHeight="false" outlineLevel="0" collapsed="false">
      <c r="A785" s="0" t="str">
        <f aca="false">TEXT(0.5,"ss")</f>
        <v>00</v>
      </c>
      <c r="B785" s="0" t="s">
        <v>792</v>
      </c>
    </row>
    <row r="786" customFormat="false" ht="15" hidden="false" customHeight="false" outlineLevel="0" collapsed="false">
      <c r="A786" s="0" t="str">
        <f aca="false">TEXT(1.999,"ss")</f>
        <v>33</v>
      </c>
      <c r="B786" s="0" t="s">
        <v>793</v>
      </c>
    </row>
    <row r="787" customFormat="false" ht="15" hidden="false" customHeight="false" outlineLevel="0" collapsed="false">
      <c r="A787" s="0" t="str">
        <f aca="false">TEXT(61,"ss")</f>
        <v>00</v>
      </c>
      <c r="B787" s="0" t="s">
        <v>794</v>
      </c>
    </row>
    <row r="788" customFormat="false" ht="15" hidden="false" customHeight="false" outlineLevel="0" collapsed="false">
      <c r="A788" s="0" t="str">
        <f aca="false">TEXT(36526.12345,"ss")</f>
        <v>46</v>
      </c>
      <c r="B788" s="0" t="s">
        <v>795</v>
      </c>
    </row>
    <row r="789" customFormat="false" ht="15" hidden="false" customHeight="false" outlineLevel="0" collapsed="false">
      <c r="A789" s="0" t="str">
        <f aca="false">TEXT(0.999999,"ss")</f>
        <v>59</v>
      </c>
      <c r="B789" s="0" t="s">
        <v>796</v>
      </c>
    </row>
    <row r="790" customFormat="false" ht="15" hidden="false" customHeight="false" outlineLevel="0" collapsed="false">
      <c r="A790" s="0" t="str">
        <f aca="false">TEXT(-1.5,"ss")</f>
        <v>00</v>
      </c>
      <c r="B790" s="0" t="s">
        <v>797</v>
      </c>
    </row>
    <row r="791" customFormat="false" ht="15" hidden="false" customHeight="false" outlineLevel="0" collapsed="false">
      <c r="A791" s="0" t="str">
        <f aca="false">TEXT(45292.5,"s.00")</f>
        <v>0,00</v>
      </c>
      <c r="B791" s="0" t="s">
        <v>798</v>
      </c>
    </row>
    <row r="792" customFormat="false" ht="15" hidden="false" customHeight="false" outlineLevel="0" collapsed="false">
      <c r="A792" s="0" t="str">
        <f aca="false">TEXT(45658.75123,"s.00")</f>
        <v>46,27</v>
      </c>
      <c r="B792" s="0" t="s">
        <v>799</v>
      </c>
    </row>
    <row r="793" customFormat="false" ht="15" hidden="false" customHeight="false" outlineLevel="0" collapsed="false">
      <c r="A793" s="0" t="str">
        <f aca="false">TEXT(0.5,"s.00")</f>
        <v>0,00</v>
      </c>
      <c r="B793" s="0" t="s">
        <v>800</v>
      </c>
    </row>
    <row r="794" customFormat="false" ht="15" hidden="false" customHeight="false" outlineLevel="0" collapsed="false">
      <c r="A794" s="0" t="str">
        <f aca="false">TEXT(1.999,"s.00")</f>
        <v>33,60</v>
      </c>
      <c r="B794" s="0" t="s">
        <v>801</v>
      </c>
    </row>
    <row r="795" customFormat="false" ht="15" hidden="false" customHeight="false" outlineLevel="0" collapsed="false">
      <c r="A795" s="0" t="str">
        <f aca="false">TEXT(61,"s.00")</f>
        <v>0,00</v>
      </c>
      <c r="B795" s="0" t="s">
        <v>802</v>
      </c>
    </row>
    <row r="796" customFormat="false" ht="15" hidden="false" customHeight="false" outlineLevel="0" collapsed="false">
      <c r="A796" s="0" t="str">
        <f aca="false">TEXT(36526.12345,"s.00")</f>
        <v>46,08</v>
      </c>
      <c r="B796" s="0" t="s">
        <v>803</v>
      </c>
    </row>
    <row r="797" customFormat="false" ht="15" hidden="false" customHeight="false" outlineLevel="0" collapsed="false">
      <c r="A797" s="0" t="str">
        <f aca="false">TEXT(0.999999,"s.00")</f>
        <v>59,91</v>
      </c>
      <c r="B797" s="0" t="s">
        <v>804</v>
      </c>
    </row>
    <row r="798" customFormat="false" ht="15" hidden="false" customHeight="false" outlineLevel="0" collapsed="false">
      <c r="A798" s="0" t="str">
        <f aca="false">TEXT(-1.5,"s.00")</f>
        <v>0,00</v>
      </c>
      <c r="B798" s="0" t="s">
        <v>805</v>
      </c>
    </row>
    <row r="799" customFormat="false" ht="15" hidden="false" customHeight="false" outlineLevel="0" collapsed="false">
      <c r="A799" s="0" t="str">
        <f aca="false">TEXT(45292.5,"[h]")</f>
        <v>1087020</v>
      </c>
      <c r="B799" s="0" t="s">
        <v>806</v>
      </c>
    </row>
    <row r="800" customFormat="false" ht="15" hidden="false" customHeight="false" outlineLevel="0" collapsed="false">
      <c r="A800" s="0" t="str">
        <f aca="false">TEXT(45658.75123,"[h]")</f>
        <v>1095810</v>
      </c>
      <c r="B800" s="0" t="s">
        <v>807</v>
      </c>
    </row>
    <row r="801" customFormat="false" ht="15" hidden="false" customHeight="false" outlineLevel="0" collapsed="false">
      <c r="A801" s="0" t="str">
        <f aca="false">TEXT(0.5,"[h]")</f>
        <v>12</v>
      </c>
      <c r="B801" s="0" t="s">
        <v>808</v>
      </c>
    </row>
    <row r="802" customFormat="false" ht="15" hidden="false" customHeight="false" outlineLevel="0" collapsed="false">
      <c r="A802" s="0" t="str">
        <f aca="false">TEXT(1.999,"[h]")</f>
        <v>47</v>
      </c>
      <c r="B802" s="0" t="s">
        <v>809</v>
      </c>
    </row>
    <row r="803" customFormat="false" ht="15" hidden="false" customHeight="false" outlineLevel="0" collapsed="false">
      <c r="A803" s="0" t="str">
        <f aca="false">TEXT(61,"[h]")</f>
        <v>1464</v>
      </c>
      <c r="B803" s="0" t="s">
        <v>810</v>
      </c>
    </row>
    <row r="804" customFormat="false" ht="15" hidden="false" customHeight="false" outlineLevel="0" collapsed="false">
      <c r="A804" s="0" t="str">
        <f aca="false">TEXT(36526.12345,"[h]")</f>
        <v>876626</v>
      </c>
      <c r="B804" s="0" t="s">
        <v>811</v>
      </c>
    </row>
    <row r="805" customFormat="false" ht="15" hidden="false" customHeight="false" outlineLevel="0" collapsed="false">
      <c r="A805" s="0" t="str">
        <f aca="false">TEXT(0.999999,"[h]")</f>
        <v>24</v>
      </c>
      <c r="B805" s="0" t="s">
        <v>812</v>
      </c>
    </row>
    <row r="806" customFormat="false" ht="15" hidden="false" customHeight="false" outlineLevel="0" collapsed="false">
      <c r="A806" s="0" t="str">
        <f aca="false">TEXT(-1.5,"[h]")</f>
        <v>-36</v>
      </c>
      <c r="B806" s="0" t="s">
        <v>813</v>
      </c>
    </row>
    <row r="807" customFormat="false" ht="15" hidden="false" customHeight="false" outlineLevel="0" collapsed="false">
      <c r="A807" s="0" t="str">
        <f aca="false">TEXT(45292.5,"m:ss")</f>
        <v>0:00</v>
      </c>
      <c r="B807" s="0" t="s">
        <v>814</v>
      </c>
    </row>
    <row r="808" customFormat="false" ht="15" hidden="false" customHeight="false" outlineLevel="0" collapsed="false">
      <c r="A808" s="0" t="str">
        <f aca="false">TEXT(45658.75123,"m:ss")</f>
        <v>1:46</v>
      </c>
      <c r="B808" s="0" t="s">
        <v>815</v>
      </c>
    </row>
    <row r="809" customFormat="false" ht="15" hidden="false" customHeight="false" outlineLevel="0" collapsed="false">
      <c r="A809" s="0" t="str">
        <f aca="false">TEXT(0.5,"m:ss")</f>
        <v>0:00</v>
      </c>
      <c r="B809" s="0" t="s">
        <v>816</v>
      </c>
    </row>
    <row r="810" customFormat="false" ht="15" hidden="false" customHeight="false" outlineLevel="0" collapsed="false">
      <c r="A810" s="0" t="str">
        <f aca="false">TEXT(1.999,"m:ss")</f>
        <v>58:33</v>
      </c>
      <c r="B810" s="0" t="s">
        <v>817</v>
      </c>
    </row>
    <row r="811" customFormat="false" ht="15" hidden="false" customHeight="false" outlineLevel="0" collapsed="false">
      <c r="A811" s="0" t="str">
        <f aca="false">TEXT(61,"m:ss")</f>
        <v>0:00</v>
      </c>
      <c r="B811" s="0" t="s">
        <v>818</v>
      </c>
    </row>
    <row r="812" customFormat="false" ht="15" hidden="false" customHeight="false" outlineLevel="0" collapsed="false">
      <c r="A812" s="0" t="str">
        <f aca="false">TEXT(36526.12345,"m:ss")</f>
        <v>57:46</v>
      </c>
      <c r="B812" s="0" t="s">
        <v>819</v>
      </c>
    </row>
    <row r="813" customFormat="false" ht="15" hidden="false" customHeight="false" outlineLevel="0" collapsed="false">
      <c r="A813" s="0" t="str">
        <f aca="false">TEXT(0.999999,"m:ss")</f>
        <v>59:59</v>
      </c>
      <c r="B813" s="0" t="s">
        <v>820</v>
      </c>
    </row>
    <row r="814" customFormat="false" ht="15" hidden="false" customHeight="false" outlineLevel="0" collapsed="false">
      <c r="A814" s="0" t="str">
        <f aca="false">TEXT(-1.5,"m:ss")</f>
        <v>0:00</v>
      </c>
      <c r="B814" s="0" t="s">
        <v>821</v>
      </c>
    </row>
    <row r="815" customFormat="false" ht="15" hidden="false" customHeight="false" outlineLevel="0" collapsed="false">
      <c r="A815" s="0" t="str">
        <f aca="false">TEXT(45292.5,"mm:ss.0")</f>
        <v>00:00,0</v>
      </c>
      <c r="B815" s="0" t="s">
        <v>822</v>
      </c>
    </row>
    <row r="816" customFormat="false" ht="15" hidden="false" customHeight="false" outlineLevel="0" collapsed="false">
      <c r="A816" s="0" t="str">
        <f aca="false">TEXT(45658.75123,"mm:ss.0")</f>
        <v>01:46,3</v>
      </c>
      <c r="B816" s="0" t="s">
        <v>823</v>
      </c>
    </row>
    <row r="817" customFormat="false" ht="15" hidden="false" customHeight="false" outlineLevel="0" collapsed="false">
      <c r="A817" s="0" t="str">
        <f aca="false">TEXT(0.5,"mm:ss.0")</f>
        <v>00:00,0</v>
      </c>
      <c r="B817" s="0" t="s">
        <v>824</v>
      </c>
    </row>
    <row r="818" customFormat="false" ht="15" hidden="false" customHeight="false" outlineLevel="0" collapsed="false">
      <c r="A818" s="0" t="str">
        <f aca="false">TEXT(1.999,"mm:ss.0")</f>
        <v>58:33,6</v>
      </c>
      <c r="B818" s="0" t="s">
        <v>825</v>
      </c>
    </row>
    <row r="819" customFormat="false" ht="15" hidden="false" customHeight="false" outlineLevel="0" collapsed="false">
      <c r="A819" s="0" t="str">
        <f aca="false">TEXT(61,"mm:ss.0")</f>
        <v>00:00,0</v>
      </c>
      <c r="B819" s="0" t="s">
        <v>826</v>
      </c>
    </row>
    <row r="820" customFormat="false" ht="15" hidden="false" customHeight="false" outlineLevel="0" collapsed="false">
      <c r="A820" s="0" t="str">
        <f aca="false">TEXT(36526.12345,"mm:ss.0")</f>
        <v>57:46,1</v>
      </c>
      <c r="B820" s="0" t="s">
        <v>827</v>
      </c>
    </row>
    <row r="821" customFormat="false" ht="15" hidden="false" customHeight="false" outlineLevel="0" collapsed="false">
      <c r="A821" s="0" t="str">
        <f aca="false">TEXT(0.999999,"mm:ss.0")</f>
        <v>59:59,9</v>
      </c>
      <c r="B821" s="0" t="s">
        <v>828</v>
      </c>
    </row>
    <row r="822" customFormat="false" ht="15" hidden="false" customHeight="false" outlineLevel="0" collapsed="false">
      <c r="A822" s="0" t="str">
        <f aca="false">TEXT(-1.5,"mm:ss.0")</f>
        <v>00:00,0</v>
      </c>
      <c r="B822" s="0" t="s">
        <v>829</v>
      </c>
    </row>
    <row r="823" customFormat="false" ht="15" hidden="false" customHeight="false" outlineLevel="0" collapsed="false">
      <c r="A823" s="0" t="str">
        <f aca="false">TEXT(45292.5,"yyyy-mm-dd""T""hh:mm:ss")</f>
        <v>2024-01-01T12:00:00</v>
      </c>
      <c r="B823" s="0" t="s">
        <v>830</v>
      </c>
    </row>
    <row r="824" customFormat="false" ht="15" hidden="false" customHeight="false" outlineLevel="0" collapsed="false">
      <c r="A824" s="0" t="str">
        <f aca="false">TEXT(45658.75123,"yyyy-mm-dd""T""hh:mm:ss")</f>
        <v>2025-01-01T18:01:46</v>
      </c>
      <c r="B824" s="0" t="s">
        <v>831</v>
      </c>
    </row>
    <row r="825" customFormat="false" ht="15" hidden="false" customHeight="false" outlineLevel="0" collapsed="false">
      <c r="A825" s="0" t="str">
        <f aca="false">TEXT(0.5,"yyyy-mm-dd""T""hh:mm:ss")</f>
        <v>1899-12-30T12:00:00</v>
      </c>
      <c r="B825" s="0" t="s">
        <v>832</v>
      </c>
    </row>
    <row r="826" customFormat="false" ht="15" hidden="false" customHeight="false" outlineLevel="0" collapsed="false">
      <c r="A826" s="0" t="str">
        <f aca="false">TEXT(1.999,"yyyy-mm-dd""T""hh:mm:ss")</f>
        <v>1899-12-31T23:58:33</v>
      </c>
      <c r="B826" s="0" t="s">
        <v>833</v>
      </c>
    </row>
    <row r="827" customFormat="false" ht="15" hidden="false" customHeight="false" outlineLevel="0" collapsed="false">
      <c r="A827" s="0" t="str">
        <f aca="false">TEXT(61,"yyyy-mm-dd""T""hh:mm:ss")</f>
        <v>1900-03-01T00:00:00</v>
      </c>
      <c r="B827" s="0" t="s">
        <v>834</v>
      </c>
    </row>
    <row r="828" customFormat="false" ht="15" hidden="false" customHeight="false" outlineLevel="0" collapsed="false">
      <c r="A828" s="0" t="str">
        <f aca="false">TEXT(36526.12345,"yyyy-mm-dd""T""hh:mm:ss")</f>
        <v>2000-01-01T02:57:46</v>
      </c>
      <c r="B828" s="0" t="s">
        <v>835</v>
      </c>
    </row>
    <row r="829" customFormat="false" ht="15" hidden="false" customHeight="false" outlineLevel="0" collapsed="false">
      <c r="A829" s="0" t="str">
        <f aca="false">TEXT(0.999999,"yyyy-mm-dd""T""hh:mm:ss")</f>
        <v>1899-12-30T23:59:59</v>
      </c>
      <c r="B829" s="0" t="s">
        <v>836</v>
      </c>
    </row>
    <row r="830" customFormat="false" ht="15" hidden="false" customHeight="false" outlineLevel="0" collapsed="false">
      <c r="A830" s="0" t="str">
        <f aca="false">TEXT(-1.5,"yyyy-mm-dd""T""hh:mm:ss")</f>
        <v>1899-12-28T12:00:00</v>
      </c>
      <c r="B830" s="0" t="s">
        <v>837</v>
      </c>
    </row>
    <row r="831" customFormat="false" ht="15" hidden="false" customHeight="false" outlineLevel="0" collapsed="false">
      <c r="A831" s="0" t="str">
        <f aca="false">TEXT("abc","0;0;0;""t:""@")</f>
        <v>t:abc</v>
      </c>
      <c r="B831" s="0" t="s">
        <v>838</v>
      </c>
    </row>
    <row r="832" customFormat="false" ht="15" hidden="false" customHeight="false" outlineLevel="0" collapsed="false">
      <c r="A832" s="0" t="str">
        <f aca="false">TEXT("abc","@@")</f>
        <v>abcabc</v>
      </c>
      <c r="B832" s="0" t="s">
        <v>839</v>
      </c>
    </row>
    <row r="833" customFormat="false" ht="15" hidden="false" customHeight="false" outlineLevel="0" collapsed="false">
      <c r="A833" s="0" t="str">
        <f aca="false">TEXT("abc","0.00")</f>
        <v>abc</v>
      </c>
      <c r="B833" s="0" t="s">
        <v>840</v>
      </c>
    </row>
    <row r="834" customFormat="false" ht="15" hidden="false" customHeight="false" outlineLevel="0" collapsed="false">
      <c r="A834" s="0" t="str">
        <f aca="false">1234.5678&amp;""</f>
        <v>1234,5678</v>
      </c>
      <c r="B834" s="0" t="s">
        <v>841</v>
      </c>
    </row>
    <row r="835" customFormat="false" ht="15" hidden="false" customHeight="false" outlineLevel="0" collapsed="false">
      <c r="A835" s="0" t="str">
        <f aca="false">0.5&amp;""</f>
        <v>0,5</v>
      </c>
      <c r="B835" s="0" t="s">
        <v>842</v>
      </c>
    </row>
    <row r="836" customFormat="false" ht="15" hidden="false" customHeight="false" outlineLevel="0" collapsed="false">
      <c r="A836" s="0" t="n">
        <f aca="false">VALUE("1,5")</f>
        <v>1.5</v>
      </c>
      <c r="B836" s="0" t="s">
        <v>843</v>
      </c>
    </row>
    <row r="837" customFormat="false" ht="15" hidden="false" customHeight="false" outlineLevel="0" collapsed="false">
      <c r="A837" s="0" t="e">
        <f aca="false">VALUE("1.5")</f>
        <v>#VALUE!</v>
      </c>
      <c r="B837" s="0" t="s">
        <v>844</v>
      </c>
    </row>
    <row r="838" customFormat="false" ht="15" hidden="false" customHeight="false" outlineLevel="0" collapsed="false">
      <c r="A838" s="0" t="n">
        <f aca="false">VALUE("1.234,5")</f>
        <v>1234.5</v>
      </c>
      <c r="B838" s="0" t="s">
        <v>845</v>
      </c>
    </row>
    <row r="839" customFormat="false" ht="15" hidden="false" customHeight="false" outlineLevel="0" collapsed="false">
      <c r="A839" s="0" t="str">
        <f aca="false">TEXT(1234.5,"#.##0,00")</f>
        <v>1.234,50</v>
      </c>
      <c r="B839" s="0" t="s">
        <v>846</v>
      </c>
    </row>
    <row r="840" customFormat="false" ht="15" hidden="false" customHeight="false" outlineLevel="0" collapsed="false">
      <c r="A840" s="0" t="str">
        <f aca="false">FIXED(1234.5678,2)</f>
        <v>1.234,57</v>
      </c>
      <c r="B840" s="0" t="s">
        <v>847</v>
      </c>
    </row>
    <row r="841" customFormat="false" ht="15" hidden="false" customHeight="false" outlineLevel="0" collapsed="false">
      <c r="A841" s="0" t="str">
        <f aca="false">FIXED(1234.5678,1,TRUE())</f>
        <v>1234,6</v>
      </c>
      <c r="B841" s="0" t="s">
        <v>848</v>
      </c>
    </row>
    <row r="842" customFormat="false" ht="15" hidden="false" customHeight="false" outlineLevel="0" collapsed="false">
      <c r="A842" s="0" t="str">
        <f aca="false">TEXT(45292,"dddd d mmmm")</f>
        <v>lunes 1 enero</v>
      </c>
      <c r="B842" s="0" t="s">
        <v>849</v>
      </c>
    </row>
    <row r="843" customFormat="false" ht="15" hidden="false" customHeight="false" outlineLevel="0" collapsed="false">
      <c r="A843" s="0" t="str">
        <f aca="false">TEXT(TRUE(),"0")</f>
        <v>1</v>
      </c>
      <c r="B843" s="0" t="s">
        <v>850</v>
      </c>
    </row>
    <row r="844" customFormat="false" ht="15" hidden="false" customHeight="false" outlineLevel="0" collapsed="false">
      <c r="A844" s="0" t="str">
        <f aca="false">1/3&amp;""</f>
        <v>0,333333333333333</v>
      </c>
      <c r="B844" s="0" t="s">
        <v>851</v>
      </c>
    </row>
    <row r="845" customFormat="false" ht="15" hidden="false" customHeight="false" outlineLevel="0" collapsed="false">
      <c r="A845" s="0" t="n">
        <f aca="false">DATEVALUE("15/01/2024")</f>
        <v>45306</v>
      </c>
      <c r="B845" s="0" t="s">
        <v>852</v>
      </c>
    </row>
    <row r="846" customFormat="false" ht="15" hidden="false" customHeight="false" outlineLevel="0" collapsed="false">
      <c r="A846" s="0" t="str">
        <f aca="false">TEXT(1234.5678,"#.##0")</f>
        <v>1.235</v>
      </c>
      <c r="B846" s="0" t="s">
        <v>169</v>
      </c>
    </row>
    <row r="847" customFormat="false" ht="15" hidden="false" customHeight="false" outlineLevel="0" collapsed="false">
      <c r="A847" s="0" t="n">
        <f aca="false">_xlfn.NUMBERVALUE("1.234,5",",",".")</f>
        <v>1234.5</v>
      </c>
      <c r="B847" s="0" t="s">
        <v>853</v>
      </c>
    </row>
    <row r="848" customFormat="false" ht="15" hidden="false" customHeight="false" outlineLevel="0" collapsed="false">
      <c r="A848" s="2" t="b">
        <f aca="false">3&gt;2&amp;""</f>
        <v>0</v>
      </c>
      <c r="B848" s="0" t="s">
        <v>854</v>
      </c>
    </row>
    <row r="849" customFormat="false" ht="15" hidden="false" customHeight="false" outlineLevel="0" collapsed="false">
      <c r="A849" s="0" t="str">
        <f aca="false">DOLLAR(1234.567,2)</f>
        <v>$1.234,57</v>
      </c>
      <c r="B849" s="0" t="s">
        <v>855</v>
      </c>
    </row>
    <row r="850" customFormat="false" ht="15" hidden="false" customHeight="false" outlineLevel="0" collapsed="false">
      <c r="A850" s="0" t="str">
        <f aca="false">DOLLAR(-1234.567,2)</f>
        <v>($1.234,57)</v>
      </c>
      <c r="B850" s="0" t="s">
        <v>856</v>
      </c>
    </row>
    <row r="851" customFormat="false" ht="15" hidden="false" customHeight="false" outlineLevel="0" collapsed="false">
      <c r="A851" s="0" t="str">
        <f aca="false">DOLLAR(1234.567,0)</f>
        <v>$1.235</v>
      </c>
      <c r="B851" s="0" t="s">
        <v>857</v>
      </c>
    </row>
    <row r="852" customFormat="false" ht="15" hidden="false" customHeight="false" outlineLevel="0" collapsed="false">
      <c r="A852" s="0" t="str">
        <f aca="false">DOLLAR(0.5,1)</f>
        <v>$0,5</v>
      </c>
      <c r="B852" s="0" t="s">
        <v>858</v>
      </c>
    </row>
    <row r="853" customFormat="false" ht="15" hidden="false" customHeight="false" outlineLevel="0" collapsed="false">
      <c r="A853" s="0" t="str">
        <f aca="false">DOLLAR(-0.004,2)</f>
        <v>$0,00</v>
      </c>
      <c r="B853" s="0" t="s">
        <v>859</v>
      </c>
    </row>
    <row r="854" customFormat="false" ht="15" hidden="false" customHeight="false" outlineLevel="0" collapsed="false">
      <c r="A854" s="0" t="str">
        <f aca="false">TEXT(0.5,"0%")</f>
        <v>50%</v>
      </c>
      <c r="B854" s="0" t="s">
        <v>860</v>
      </c>
    </row>
    <row r="855" customFormat="false" ht="15" hidden="false" customHeight="false" outlineLevel="0" collapsed="false">
      <c r="A855" s="0" t="str">
        <f aca="false">TEXT(1234567.891,"#,##0.00")</f>
        <v>1.234.567,89</v>
      </c>
      <c r="B855" s="0" t="s">
        <v>861</v>
      </c>
    </row>
    <row r="856" customFormat="false" ht="15" hidden="false" customHeight="false" outlineLevel="0" collapsed="false">
      <c r="A856" s="0" t="str">
        <f aca="false">ROUND(1234.5678,2)&amp;""</f>
        <v>1234,57</v>
      </c>
      <c r="B856" s="0" t="s">
        <v>862</v>
      </c>
    </row>
    <row r="857" customFormat="false" ht="15" hidden="false" customHeight="false" outlineLevel="0" collapsed="false">
      <c r="A857" s="0" t="n">
        <f aca="false">DATEVALUE("1 marzo 2024")</f>
        <v>45352</v>
      </c>
      <c r="B857" s="0" t="s">
        <v>863</v>
      </c>
    </row>
    <row r="858" customFormat="false" ht="15" hidden="false" customHeight="false" outlineLevel="0" collapsed="false">
      <c r="A858" s="0" t="n">
        <f aca="false">DATEVALUE("marzo 1 2024")</f>
        <v>45352</v>
      </c>
      <c r="B858" s="0" t="s">
        <v>864</v>
      </c>
    </row>
    <row r="859" customFormat="false" ht="15" hidden="false" customHeight="false" outlineLevel="0" collapsed="false">
      <c r="A859" s="0" t="n">
        <f aca="false">DATEVALUE("1 mar 2024")</f>
        <v>45352</v>
      </c>
      <c r="B859" s="0" t="s">
        <v>865</v>
      </c>
    </row>
    <row r="860" customFormat="false" ht="15" hidden="false" customHeight="false" outlineLevel="0" collapsed="false">
      <c r="A860" s="0" t="n">
        <f aca="false">DATEVALUE("1 mar. 2024")</f>
        <v>45352</v>
      </c>
      <c r="B860" s="0" t="s">
        <v>866</v>
      </c>
    </row>
    <row r="861" customFormat="false" ht="15" hidden="false" customHeight="false" outlineLevel="0" collapsed="false">
      <c r="A861" s="0" t="n">
        <f aca="false">DATEVALUE("1-mar-2024")</f>
        <v>45352</v>
      </c>
      <c r="B861" s="0" t="s">
        <v>867</v>
      </c>
    </row>
    <row r="862" customFormat="false" ht="15" hidden="false" customHeight="false" outlineLevel="0" collapsed="false">
      <c r="A862" s="0" t="n">
        <f aca="false">DATEVALUE("1-Mar-24")</f>
        <v>45352</v>
      </c>
      <c r="B862" s="0" t="s">
        <v>868</v>
      </c>
    </row>
    <row r="863" customFormat="false" ht="15" hidden="false" customHeight="false" outlineLevel="0" collapsed="false">
      <c r="A863" s="0" t="n">
        <f aca="false">DATEVALUE("2024-mar-1")</f>
        <v>45352</v>
      </c>
      <c r="B863" s="0" t="s">
        <v>869</v>
      </c>
    </row>
    <row r="864" customFormat="false" ht="15" hidden="false" customHeight="false" outlineLevel="0" collapsed="false">
      <c r="A864" s="0" t="n">
        <f aca="false">DATEVALUE("mar 2024")</f>
        <v>45352</v>
      </c>
      <c r="B864" s="0" t="s">
        <v>870</v>
      </c>
    </row>
    <row r="865" customFormat="false" ht="15" hidden="false" customHeight="false" outlineLevel="0" collapsed="false">
      <c r="A865" s="0" t="n">
        <f aca="false">DATEVALUE("marzo 2024")</f>
        <v>45352</v>
      </c>
      <c r="B865" s="0" t="s">
        <v>871</v>
      </c>
    </row>
    <row r="866" customFormat="false" ht="15" hidden="false" customHeight="false" outlineLevel="0" collapsed="false">
      <c r="A866" s="0" t="n">
        <f aca="false">DATEVALUE("Mar 1 2024")</f>
        <v>45352</v>
      </c>
      <c r="B866" s="0" t="s">
        <v>872</v>
      </c>
    </row>
    <row r="867" customFormat="false" ht="15" hidden="false" customHeight="false" outlineLevel="0" collapsed="false">
      <c r="A867" s="0" t="n">
        <f aca="false">DATEVALUE("Mar 24")</f>
        <v>45352</v>
      </c>
      <c r="B867" s="0" t="s">
        <v>873</v>
      </c>
    </row>
    <row r="868" customFormat="false" ht="15" hidden="false" customHeight="false" outlineLevel="0" collapsed="false">
      <c r="A868" s="0" t="n">
        <f aca="false">DATEVALUE("1 Mar 24")</f>
        <v>45352</v>
      </c>
      <c r="B868" s="0" t="s">
        <v>874</v>
      </c>
    </row>
    <row r="869" customFormat="false" ht="15" hidden="false" customHeight="false" outlineLevel="0" collapsed="false">
      <c r="A869" s="0" t="n">
        <f aca="false">DATEVALUE("Mar 1 24")</f>
        <v>45352</v>
      </c>
      <c r="B869" s="0" t="s">
        <v>875</v>
      </c>
    </row>
    <row r="870" customFormat="false" ht="15" hidden="false" customHeight="false" outlineLevel="0" collapsed="false">
      <c r="A870" s="0" t="n">
        <f aca="false">DATEVALUE("MAR 1 2024")</f>
        <v>45352</v>
      </c>
      <c r="B870" s="0" t="s">
        <v>876</v>
      </c>
    </row>
    <row r="871" customFormat="false" ht="15" hidden="false" customHeight="false" outlineLevel="0" collapsed="false">
      <c r="A871" s="0" t="n">
        <f aca="false">DATEVALUE("  1 marzo 2024 ")</f>
        <v>45352</v>
      </c>
      <c r="B871" s="0" t="s">
        <v>877</v>
      </c>
    </row>
    <row r="872" customFormat="false" ht="15" hidden="false" customHeight="false" outlineLevel="0" collapsed="false">
      <c r="A872" s="0" t="n">
        <f aca="false">DATEVALUE("1 marzo 2024 10:30")</f>
        <v>45352</v>
      </c>
      <c r="B872" s="0" t="s">
        <v>878</v>
      </c>
    </row>
    <row r="873" customFormat="false" ht="15" hidden="false" customHeight="false" outlineLevel="0" collapsed="false">
      <c r="A873" s="0" t="n">
        <f aca="false">DATEVALUE("31 mar 2024")</f>
        <v>45382</v>
      </c>
      <c r="B873" s="0" t="s">
        <v>879</v>
      </c>
    </row>
    <row r="874" customFormat="false" ht="15" hidden="false" customHeight="false" outlineLevel="0" collapsed="false">
      <c r="A874" s="0" t="n">
        <f aca="false">DATEVALUE("Mar/1/2024")</f>
        <v>45352</v>
      </c>
      <c r="B874" s="0" t="s">
        <v>880</v>
      </c>
    </row>
    <row r="875" customFormat="false" ht="15" hidden="false" customHeight="false" outlineLevel="0" collapsed="false">
      <c r="A875" s="0" t="e">
        <f aca="false">DATEVALUE("marzo 1, 2024")</f>
        <v>#VALUE!</v>
      </c>
      <c r="B875" s="0" t="s">
        <v>881</v>
      </c>
    </row>
    <row r="876" customFormat="false" ht="15" hidden="false" customHeight="false" outlineLevel="0" collapsed="false">
      <c r="A876" s="0" t="e">
        <f aca="false">DATEVALUE("1 de marzo de 2024")</f>
        <v>#VALUE!</v>
      </c>
      <c r="B876" s="0" t="s">
        <v>882</v>
      </c>
    </row>
    <row r="877" customFormat="false" ht="15" hidden="false" customHeight="false" outlineLevel="0" collapsed="false">
      <c r="A877" s="0" t="e">
        <f aca="false">DATEVALUE("March 1 2024")</f>
        <v>#VALUE!</v>
      </c>
      <c r="B877" s="0" t="s">
        <v>883</v>
      </c>
    </row>
    <row r="878" customFormat="false" ht="15" hidden="false" customHeight="false" outlineLevel="0" collapsed="false">
      <c r="A878" s="0" t="e">
        <f aca="false">DATEVALUE("March 2024")</f>
        <v>#VALUE!</v>
      </c>
      <c r="B878" s="0" t="s">
        <v>884</v>
      </c>
    </row>
    <row r="879" customFormat="false" ht="15" hidden="false" customHeight="false" outlineLevel="0" collapsed="false">
      <c r="A879" s="0" t="e">
        <f aca="false">DATEVALUE("1/Mar/2024")</f>
        <v>#VALUE!</v>
      </c>
      <c r="B879" s="0" t="s">
        <v>885</v>
      </c>
    </row>
    <row r="880" customFormat="false" ht="15" hidden="false" customHeight="false" outlineLevel="0" collapsed="false">
      <c r="A880" s="0" t="e">
        <f aca="false">DATEVALUE("2024 mar 1")</f>
        <v>#VALUE!</v>
      </c>
      <c r="B880" s="0" t="s">
        <v>886</v>
      </c>
    </row>
    <row r="881" customFormat="false" ht="15" hidden="false" customHeight="false" outlineLevel="0" collapsed="false">
      <c r="A881" s="0" t="e">
        <f aca="false">DATEVALUE("mar-1-2024")</f>
        <v>#VALUE!</v>
      </c>
      <c r="B881" s="0" t="s">
        <v>887</v>
      </c>
    </row>
    <row r="882" customFormat="false" ht="15" hidden="false" customHeight="false" outlineLevel="0" collapsed="false">
      <c r="A882" s="0" t="e">
        <f aca="false">DATEVALUE("32 mar 2024")</f>
        <v>#VALUE!</v>
      </c>
      <c r="B882" s="0" t="s">
        <v>888</v>
      </c>
    </row>
    <row r="883" customFormat="false" ht="15" hidden="false" customHeight="false" outlineLevel="0" collapsed="false">
      <c r="A883" s="0" t="e">
        <f aca="false">DATEVALUE("30 feb 2024")</f>
        <v>#VALUE!</v>
      </c>
      <c r="B883" s="0" t="s">
        <v>889</v>
      </c>
    </row>
    <row r="884" customFormat="false" ht="15" hidden="false" customHeight="false" outlineLevel="0" collapsed="false">
      <c r="A884" s="3" t="n">
        <f aca="true">TODAY()</f>
        <v>46322</v>
      </c>
      <c r="B884" s="0" t="s">
        <v>890</v>
      </c>
    </row>
    <row r="885" customFormat="false" ht="15" hidden="false" customHeight="false" outlineLevel="0" collapsed="false">
      <c r="A885" s="0" t="n">
        <f aca="false">DATEVALUE("13/3")</f>
        <v>46094</v>
      </c>
      <c r="B885" s="0" t="s">
        <v>891</v>
      </c>
    </row>
    <row r="886" customFormat="false" ht="15" hidden="false" customHeight="false" outlineLevel="0" collapsed="false">
      <c r="A886" s="0" t="n">
        <f aca="false">DATEVALUE("3/1")</f>
        <v>46025</v>
      </c>
      <c r="B886" s="0" t="s">
        <v>892</v>
      </c>
    </row>
    <row r="887" customFormat="false" ht="15" hidden="false" customHeight="false" outlineLevel="0" collapsed="false">
      <c r="A887" s="0" t="n">
        <f aca="false">DATEVALUE("31/12")</f>
        <v>46387</v>
      </c>
      <c r="B887" s="0" t="s">
        <v>893</v>
      </c>
    </row>
    <row r="888" customFormat="false" ht="15" hidden="false" customHeight="false" outlineLevel="0" collapsed="false">
      <c r="A888" s="0" t="e">
        <f aca="false">DATEVALUE("1/13")</f>
        <v>#VALUE!</v>
      </c>
      <c r="B888" s="0" t="s">
        <v>894</v>
      </c>
    </row>
    <row r="889" customFormat="false" ht="15" hidden="false" customHeight="false" outlineLevel="0" collapsed="false">
      <c r="A889" s="0" t="n">
        <f aca="false">DATEVALUE("13/3/2024")</f>
        <v>45364</v>
      </c>
      <c r="B889" s="0" t="s">
        <v>895</v>
      </c>
    </row>
    <row r="890" customFormat="false" ht="15" hidden="false" customHeight="false" outlineLevel="0" collapsed="false">
      <c r="A890" s="0" t="n">
        <f aca="false">DATEVALUE("3/1/24")</f>
        <v>45294</v>
      </c>
      <c r="B890" s="0" t="s">
        <v>896</v>
      </c>
    </row>
    <row r="891" customFormat="false" ht="15" hidden="false" customHeight="false" outlineLevel="0" collapsed="false">
      <c r="A891" s="0" t="n">
        <f aca="false">DATEVALUE("31/12/99")</f>
        <v>36525</v>
      </c>
      <c r="B891" s="0" t="s">
        <v>897</v>
      </c>
    </row>
    <row r="892" customFormat="false" ht="15" hidden="false" customHeight="false" outlineLevel="0" collapsed="false">
      <c r="A892" s="0" t="e">
        <f aca="false">DATEVALUE("1/13/2024")</f>
        <v>#VALUE!</v>
      </c>
      <c r="B892" s="0" t="s">
        <v>898</v>
      </c>
    </row>
    <row r="893" customFormat="false" ht="15" hidden="false" customHeight="false" outlineLevel="0" collapsed="false">
      <c r="A893" s="0" t="e">
        <f aca="false">DATEVALUE("3/13/2024")</f>
        <v>#VALUE!</v>
      </c>
      <c r="B893" s="0" t="s">
        <v>899</v>
      </c>
    </row>
    <row r="894" customFormat="false" ht="15" hidden="false" customHeight="false" outlineLevel="0" collapsed="false">
      <c r="A894" s="0" t="n">
        <f aca="false">DATEVALUE("1/3/24")</f>
        <v>45352</v>
      </c>
      <c r="B894" s="0" t="s">
        <v>900</v>
      </c>
    </row>
    <row r="895" customFormat="false" ht="15" hidden="false" customHeight="false" outlineLevel="0" collapsed="false">
      <c r="A895" s="0" t="e">
        <f aca="false">DATEVALUE("12/31/99")</f>
        <v>#VALUE!</v>
      </c>
      <c r="B895" s="0" t="s">
        <v>901</v>
      </c>
    </row>
    <row r="896" customFormat="false" ht="15" hidden="false" customHeight="false" outlineLevel="0" collapsed="false">
      <c r="A896" s="0" t="n">
        <f aca="false">DATEVALUE("13/1/2024")</f>
        <v>45304</v>
      </c>
      <c r="B896" s="0" t="s">
        <v>902</v>
      </c>
    </row>
    <row r="897" customFormat="false" ht="15" hidden="false" customHeight="false" outlineLevel="0" collapsed="false">
      <c r="A897" s="0" t="e">
        <f aca="false">DATEVALUE("2024/3/13")</f>
        <v>#VALUE!</v>
      </c>
      <c r="B897" s="0" t="s">
        <v>903</v>
      </c>
    </row>
    <row r="898" customFormat="false" ht="15" hidden="false" customHeight="false" outlineLevel="0" collapsed="false">
      <c r="A898" s="0" t="n">
        <f aca="false">DATEVALUE("24/1/3")</f>
        <v>37645</v>
      </c>
      <c r="B898" s="0" t="s">
        <v>904</v>
      </c>
    </row>
    <row r="899" customFormat="false" ht="15" hidden="false" customHeight="false" outlineLevel="0" collapsed="false">
      <c r="A899" s="0" t="e">
        <f aca="false">DATEVALUE("99/12/31")</f>
        <v>#VALUE!</v>
      </c>
      <c r="B899" s="0" t="s">
        <v>905</v>
      </c>
    </row>
    <row r="900" customFormat="false" ht="15" hidden="false" customHeight="false" outlineLevel="0" collapsed="false">
      <c r="A900" s="0" t="e">
        <f aca="false">DATEVALUE("2024/13/1")</f>
        <v>#VALUE!</v>
      </c>
      <c r="B900" s="0" t="s">
        <v>906</v>
      </c>
    </row>
    <row r="901" customFormat="false" ht="15" hidden="false" customHeight="false" outlineLevel="0" collapsed="false">
      <c r="A901" s="0" t="e">
        <f aca="false">DATEVALUE("13.3.2024")</f>
        <v>#VALUE!</v>
      </c>
      <c r="B901" s="0" t="s">
        <v>907</v>
      </c>
    </row>
    <row r="902" customFormat="false" ht="15" hidden="false" customHeight="false" outlineLevel="0" collapsed="false">
      <c r="A902" s="0" t="e">
        <f aca="false">DATEVALUE("3.1.24")</f>
        <v>#VALUE!</v>
      </c>
      <c r="B902" s="0" t="s">
        <v>908</v>
      </c>
    </row>
    <row r="903" customFormat="false" ht="15" hidden="false" customHeight="false" outlineLevel="0" collapsed="false">
      <c r="A903" s="0" t="e">
        <f aca="false">DATEVALUE("31.12.99")</f>
        <v>#VALUE!</v>
      </c>
      <c r="B903" s="0" t="s">
        <v>909</v>
      </c>
    </row>
    <row r="904" customFormat="false" ht="15" hidden="false" customHeight="false" outlineLevel="0" collapsed="false">
      <c r="A904" s="0" t="e">
        <f aca="false">DATEVALUE("1.13.2024")</f>
        <v>#VALUE!</v>
      </c>
      <c r="B904" s="0" t="s">
        <v>910</v>
      </c>
    </row>
    <row r="905" customFormat="false" ht="15" hidden="false" customHeight="false" outlineLevel="0" collapsed="false">
      <c r="A905" s="0" t="e">
        <f aca="false">DATEVALUE("13-3-2024")</f>
        <v>#VALUE!</v>
      </c>
      <c r="B905" s="0" t="s">
        <v>911</v>
      </c>
    </row>
    <row r="906" customFormat="false" ht="15" hidden="false" customHeight="false" outlineLevel="0" collapsed="false">
      <c r="A906" s="0" t="n">
        <f aca="false">DATEVALUE("3-1-24")</f>
        <v>37645</v>
      </c>
      <c r="B906" s="0" t="s">
        <v>912</v>
      </c>
    </row>
    <row r="907" customFormat="false" ht="15" hidden="false" customHeight="false" outlineLevel="0" collapsed="false">
      <c r="A907" s="0" t="e">
        <f aca="false">DATEVALUE("31-12-99")</f>
        <v>#VALUE!</v>
      </c>
      <c r="B907" s="0" t="s">
        <v>913</v>
      </c>
    </row>
    <row r="908" customFormat="false" ht="15" hidden="false" customHeight="false" outlineLevel="0" collapsed="false">
      <c r="A908" s="0" t="e">
        <f aca="false">DATEVALUE("1-13-2024")</f>
        <v>#VALUE!</v>
      </c>
      <c r="B908" s="0" t="s">
        <v>914</v>
      </c>
    </row>
    <row r="909" customFormat="false" ht="15" hidden="false" customHeight="false" outlineLevel="0" collapsed="false">
      <c r="A909" s="0" t="e">
        <f aca="false">DATEVALUE("3-13-2024")</f>
        <v>#VALUE!</v>
      </c>
      <c r="B909" s="0" t="s">
        <v>915</v>
      </c>
    </row>
    <row r="910" customFormat="false" ht="15" hidden="false" customHeight="false" outlineLevel="0" collapsed="false">
      <c r="A910" s="0" t="n">
        <f aca="false">DATEVALUE("1-3-24")</f>
        <v>36974</v>
      </c>
      <c r="B910" s="0" t="s">
        <v>916</v>
      </c>
    </row>
    <row r="911" customFormat="false" ht="15" hidden="false" customHeight="false" outlineLevel="0" collapsed="false">
      <c r="A911" s="0" t="e">
        <f aca="false">DATEVALUE("12-31-99")</f>
        <v>#VALUE!</v>
      </c>
      <c r="B911" s="0" t="s">
        <v>917</v>
      </c>
    </row>
    <row r="912" customFormat="false" ht="15" hidden="false" customHeight="false" outlineLevel="0" collapsed="false">
      <c r="A912" s="0" t="e">
        <f aca="false">DATEVALUE("13-1-2024")</f>
        <v>#VALUE!</v>
      </c>
      <c r="B912" s="0" t="s">
        <v>918</v>
      </c>
    </row>
    <row r="913" customFormat="false" ht="15" hidden="false" customHeight="false" outlineLevel="0" collapsed="false">
      <c r="A913" s="0" t="n">
        <f aca="false">DATEVALUE("2024-3-13")</f>
        <v>45364</v>
      </c>
      <c r="B913" s="0" t="s">
        <v>919</v>
      </c>
    </row>
    <row r="914" customFormat="false" ht="15" hidden="false" customHeight="false" outlineLevel="0" collapsed="false">
      <c r="A914" s="0" t="n">
        <f aca="false">DATEVALUE("24-1-3")</f>
        <v>45294</v>
      </c>
      <c r="B914" s="0" t="s">
        <v>920</v>
      </c>
    </row>
    <row r="915" customFormat="false" ht="15" hidden="false" customHeight="false" outlineLevel="0" collapsed="false">
      <c r="A915" s="0" t="n">
        <f aca="false">DATEVALUE("99-12-31")</f>
        <v>36525</v>
      </c>
      <c r="B915" s="0" t="s">
        <v>921</v>
      </c>
    </row>
    <row r="916" customFormat="false" ht="15" hidden="false" customHeight="false" outlineLevel="0" collapsed="false">
      <c r="A916" s="0" t="e">
        <f aca="false">DATEVALUE("2024-13-1")</f>
        <v>#VALUE!</v>
      </c>
      <c r="B916" s="0" t="s">
        <v>922</v>
      </c>
    </row>
    <row r="917" customFormat="false" ht="15" hidden="false" customHeight="false" outlineLevel="0" collapsed="false">
      <c r="A917" s="0" t="e">
        <f aca="false">DATEVALUE("13.3.")</f>
        <v>#VALUE!</v>
      </c>
      <c r="B917" s="0" t="s">
        <v>923</v>
      </c>
    </row>
    <row r="918" customFormat="false" ht="15" hidden="false" customHeight="false" outlineLevel="0" collapsed="false">
      <c r="A918" s="0" t="e">
        <f aca="false">DATEVALUE("3.1.")</f>
        <v>#VALUE!</v>
      </c>
      <c r="B918" s="0" t="s">
        <v>924</v>
      </c>
    </row>
    <row r="919" customFormat="false" ht="15" hidden="false" customHeight="false" outlineLevel="0" collapsed="false">
      <c r="A919" s="0" t="e">
        <f aca="false">DATEVALUE("31.12.")</f>
        <v>#VALUE!</v>
      </c>
      <c r="B919" s="0" t="s">
        <v>925</v>
      </c>
    </row>
    <row r="920" customFormat="false" ht="15" hidden="false" customHeight="false" outlineLevel="0" collapsed="false">
      <c r="A920" s="0" t="e">
        <f aca="false">DATEVALUE("1.13.")</f>
        <v>#VALUE!</v>
      </c>
      <c r="B920" s="0" t="s">
        <v>926</v>
      </c>
    </row>
    <row r="921" customFormat="false" ht="15" hidden="false" customHeight="false" outlineLevel="0" collapsed="false">
      <c r="A921" s="0" t="e">
        <f aca="false">DATEVALUE("3/13")</f>
        <v>#VALUE!</v>
      </c>
      <c r="B921" s="0" t="s">
        <v>927</v>
      </c>
    </row>
    <row r="922" customFormat="false" ht="15" hidden="false" customHeight="false" outlineLevel="0" collapsed="false">
      <c r="A922" s="0" t="n">
        <f aca="false">DATEVALUE("1/3")</f>
        <v>46082</v>
      </c>
      <c r="B922" s="0" t="s">
        <v>928</v>
      </c>
    </row>
    <row r="923" customFormat="false" ht="15" hidden="false" customHeight="false" outlineLevel="0" collapsed="false">
      <c r="A923" s="0" t="e">
        <f aca="false">DATEVALUE("12/31")</f>
        <v>#VALUE!</v>
      </c>
      <c r="B923" s="0" t="s">
        <v>929</v>
      </c>
    </row>
    <row r="924" customFormat="false" ht="15" hidden="false" customHeight="false" outlineLevel="0" collapsed="false">
      <c r="A924" s="0" t="n">
        <f aca="false">DATEVALUE("13/1")</f>
        <v>46035</v>
      </c>
      <c r="B924" s="0" t="s">
        <v>930</v>
      </c>
    </row>
    <row r="925" customFormat="false" ht="15" hidden="false" customHeight="false" outlineLevel="0" collapsed="false">
      <c r="A925" s="0" t="e">
        <f aca="false">DATEVALUE("13-3")</f>
        <v>#VALUE!</v>
      </c>
      <c r="B925" s="0" t="s">
        <v>931</v>
      </c>
    </row>
    <row r="926" customFormat="false" ht="15" hidden="false" customHeight="false" outlineLevel="0" collapsed="false">
      <c r="A926" s="0" t="e">
        <f aca="false">DATEVALUE("3-1")</f>
        <v>#VALUE!</v>
      </c>
      <c r="B926" s="0" t="s">
        <v>932</v>
      </c>
    </row>
    <row r="927" customFormat="false" ht="15" hidden="false" customHeight="false" outlineLevel="0" collapsed="false">
      <c r="A927" s="0" t="e">
        <f aca="false">DATEVALUE("31-12")</f>
        <v>#VALUE!</v>
      </c>
      <c r="B927" s="0" t="s">
        <v>933</v>
      </c>
    </row>
    <row r="928" customFormat="false" ht="15" hidden="false" customHeight="false" outlineLevel="0" collapsed="false">
      <c r="A928" s="0" t="e">
        <f aca="false">DATEVALUE("1-13")</f>
        <v>#VALUE!</v>
      </c>
      <c r="B928" s="0" t="s">
        <v>934</v>
      </c>
    </row>
    <row r="929" customFormat="false" ht="15" hidden="false" customHeight="false" outlineLevel="0" collapsed="false">
      <c r="A929" s="0" t="n">
        <f aca="false">DATEVALUE("2024-03-13")</f>
        <v>45364</v>
      </c>
      <c r="B929" s="0" t="s">
        <v>935</v>
      </c>
    </row>
    <row r="930" customFormat="false" ht="15" hidden="false" customHeight="false" outlineLevel="0" collapsed="false">
      <c r="A930" s="0" t="n">
        <f aca="false">DATEVALUE("24-03-13")</f>
        <v>45364</v>
      </c>
      <c r="B930" s="0" t="s">
        <v>936</v>
      </c>
    </row>
    <row r="931" customFormat="false" ht="15" hidden="false" customHeight="false" outlineLevel="0" collapsed="false">
      <c r="A931" s="0" t="n">
        <f aca="false">DATEVALUE("99-12-31")</f>
        <v>36525</v>
      </c>
      <c r="B931" s="0" t="s">
        <v>921</v>
      </c>
    </row>
    <row r="932" customFormat="false" ht="15" hidden="false" customHeight="false" outlineLevel="0" collapsed="false">
      <c r="A932" s="0" t="e">
        <f aca="false">DATEVALUE("31-12-99")</f>
        <v>#VALUE!</v>
      </c>
      <c r="B932" s="0" t="s">
        <v>913</v>
      </c>
    </row>
    <row r="933" customFormat="false" ht="15" hidden="false" customHeight="false" outlineLevel="0" collapsed="false">
      <c r="A933" s="0" t="n">
        <f aca="false">DATEVALUE("2024-3-1 10:00")</f>
        <v>45352</v>
      </c>
      <c r="B933" s="0" t="s">
        <v>937</v>
      </c>
    </row>
    <row r="934" customFormat="false" ht="15" hidden="false" customHeight="false" outlineLevel="0" collapsed="false">
      <c r="A934" s="0" t="n">
        <f aca="false">DATEVALUE("3/1/2024 10:00")</f>
        <v>45294</v>
      </c>
      <c r="B934" s="0" t="s">
        <v>938</v>
      </c>
    </row>
    <row r="935" customFormat="false" ht="15" hidden="false" customHeight="false" outlineLevel="0" collapsed="false">
      <c r="A935" s="0" t="e">
        <f aca="false">DATEVALUE("3.1.2024 10:00")</f>
        <v>#VALUE!</v>
      </c>
      <c r="B935" s="0" t="s">
        <v>939</v>
      </c>
    </row>
    <row r="936" customFormat="false" ht="15" hidden="false" customHeight="false" outlineLevel="0" collapsed="false">
      <c r="A936" s="0" t="n">
        <f aca="false">DATEVALUE("marzo 13 2024")</f>
        <v>45364</v>
      </c>
      <c r="B936" s="0" t="s">
        <v>940</v>
      </c>
    </row>
    <row r="937" customFormat="false" ht="15" hidden="false" customHeight="false" outlineLevel="0" collapsed="false">
      <c r="A937" s="0" t="n">
        <f aca="false">DATEVALUE("13 marzo 2024")</f>
        <v>45364</v>
      </c>
      <c r="B937" s="0" t="s">
        <v>941</v>
      </c>
    </row>
    <row r="938" customFormat="false" ht="15" hidden="false" customHeight="false" outlineLevel="0" collapsed="false">
      <c r="A938" s="0" t="e">
        <f aca="false">DATEVALUE("2024 marzo 13")</f>
        <v>#VALUE!</v>
      </c>
      <c r="B938" s="0" t="s">
        <v>942</v>
      </c>
    </row>
    <row r="939" customFormat="false" ht="15" hidden="false" customHeight="false" outlineLevel="0" collapsed="false">
      <c r="A939" s="0" t="n">
        <f aca="false">DATEVALUE("marzo 13")</f>
        <v>41334</v>
      </c>
      <c r="B939" s="0" t="s">
        <v>943</v>
      </c>
    </row>
    <row r="940" customFormat="false" ht="15" hidden="false" customHeight="false" outlineLevel="0" collapsed="false">
      <c r="A940" s="0" t="n">
        <f aca="false">DATEVALUE("13 marzo")</f>
        <v>46094</v>
      </c>
      <c r="B940" s="0" t="s">
        <v>944</v>
      </c>
    </row>
    <row r="941" customFormat="false" ht="15" hidden="false" customHeight="false" outlineLevel="0" collapsed="false">
      <c r="A941" s="0" t="n">
        <f aca="false">DATEVALUE("marzo 2024")</f>
        <v>45352</v>
      </c>
      <c r="B941" s="0" t="s">
        <v>871</v>
      </c>
    </row>
    <row r="942" customFormat="false" ht="15" hidden="false" customHeight="false" outlineLevel="0" collapsed="false">
      <c r="A942" s="0" t="e">
        <f aca="false">DATEVALUE("2024 marzo")</f>
        <v>#VALUE!</v>
      </c>
      <c r="B942" s="0" t="s">
        <v>945</v>
      </c>
    </row>
    <row r="943" customFormat="false" ht="15" hidden="false" customHeight="false" outlineLevel="0" collapsed="false">
      <c r="A943" s="0" t="n">
        <f aca="false">DATEVALUE("marzo 13 25")</f>
        <v>45729</v>
      </c>
      <c r="B943" s="0" t="s">
        <v>946</v>
      </c>
    </row>
    <row r="944" customFormat="false" ht="15" hidden="false" customHeight="false" outlineLevel="0" collapsed="false">
      <c r="A944" s="0" t="n">
        <f aca="false">DATEVALUE("13 marzo 25")</f>
        <v>45729</v>
      </c>
      <c r="B944" s="0" t="s">
        <v>947</v>
      </c>
    </row>
    <row r="945" customFormat="false" ht="15" hidden="false" customHeight="false" outlineLevel="0" collapsed="false">
      <c r="A945" s="0" t="e">
        <f aca="false">DATEVALUE("marzo-13-2024")</f>
        <v>#VALUE!</v>
      </c>
      <c r="B945" s="0" t="s">
        <v>948</v>
      </c>
    </row>
    <row r="946" customFormat="false" ht="15" hidden="false" customHeight="false" outlineLevel="0" collapsed="false">
      <c r="A946" s="0" t="n">
        <f aca="false">DATEVALUE("13-marzo-2024")</f>
        <v>45364</v>
      </c>
      <c r="B946" s="0" t="s">
        <v>949</v>
      </c>
    </row>
    <row r="947" customFormat="false" ht="15" hidden="false" customHeight="false" outlineLevel="0" collapsed="false">
      <c r="A947" s="0" t="n">
        <f aca="false">DATEVALUE("2024-marzo-13")</f>
        <v>45364</v>
      </c>
      <c r="B947" s="0" t="s">
        <v>950</v>
      </c>
    </row>
    <row r="948" customFormat="false" ht="15" hidden="false" customHeight="false" outlineLevel="0" collapsed="false">
      <c r="A948" s="0" t="n">
        <f aca="false">DATEVALUE("marzo-13")</f>
        <v>41334</v>
      </c>
      <c r="B948" s="0" t="s">
        <v>951</v>
      </c>
    </row>
    <row r="949" customFormat="false" ht="15" hidden="false" customHeight="false" outlineLevel="0" collapsed="false">
      <c r="A949" s="0" t="e">
        <f aca="false">DATEVALUE("13-marzo")</f>
        <v>#VALUE!</v>
      </c>
      <c r="B949" s="0" t="s">
        <v>952</v>
      </c>
    </row>
    <row r="950" customFormat="false" ht="15" hidden="false" customHeight="false" outlineLevel="0" collapsed="false">
      <c r="A950" s="0" t="n">
        <f aca="false">DATEVALUE("marzo-2024")</f>
        <v>45352</v>
      </c>
      <c r="B950" s="0" t="s">
        <v>953</v>
      </c>
    </row>
    <row r="951" customFormat="false" ht="15" hidden="false" customHeight="false" outlineLevel="0" collapsed="false">
      <c r="A951" s="0" t="e">
        <f aca="false">DATEVALUE("2024-marzo")</f>
        <v>#VALUE!</v>
      </c>
      <c r="B951" s="0" t="s">
        <v>954</v>
      </c>
    </row>
    <row r="952" customFormat="false" ht="15" hidden="false" customHeight="false" outlineLevel="0" collapsed="false">
      <c r="A952" s="0" t="e">
        <f aca="false">DATEVALUE("marzo-13-25")</f>
        <v>#VALUE!</v>
      </c>
      <c r="B952" s="0" t="s">
        <v>955</v>
      </c>
    </row>
    <row r="953" customFormat="false" ht="15" hidden="false" customHeight="false" outlineLevel="0" collapsed="false">
      <c r="A953" s="0" t="n">
        <f aca="false">DATEVALUE("13-marzo-25")</f>
        <v>45729</v>
      </c>
      <c r="B953" s="0" t="s">
        <v>956</v>
      </c>
    </row>
    <row r="954" customFormat="false" ht="15" hidden="false" customHeight="false" outlineLevel="0" collapsed="false">
      <c r="A954" s="0" t="n">
        <f aca="false">DATEVALUE("marzo/13/2024")</f>
        <v>45364</v>
      </c>
      <c r="B954" s="0" t="s">
        <v>957</v>
      </c>
    </row>
    <row r="955" customFormat="false" ht="15" hidden="false" customHeight="false" outlineLevel="0" collapsed="false">
      <c r="A955" s="0" t="e">
        <f aca="false">DATEVALUE("13/marzo/2024")</f>
        <v>#VALUE!</v>
      </c>
      <c r="B955" s="0" t="s">
        <v>958</v>
      </c>
    </row>
    <row r="956" customFormat="false" ht="15" hidden="false" customHeight="false" outlineLevel="0" collapsed="false">
      <c r="A956" s="0" t="e">
        <f aca="false">DATEVALUE("2024/marzo/13")</f>
        <v>#VALUE!</v>
      </c>
      <c r="B956" s="0" t="s">
        <v>959</v>
      </c>
    </row>
    <row r="957" customFormat="false" ht="15" hidden="false" customHeight="false" outlineLevel="0" collapsed="false">
      <c r="A957" s="0" t="n">
        <f aca="false">DATEVALUE("marzo/13")</f>
        <v>41334</v>
      </c>
      <c r="B957" s="0" t="s">
        <v>960</v>
      </c>
    </row>
    <row r="958" customFormat="false" ht="15" hidden="false" customHeight="false" outlineLevel="0" collapsed="false">
      <c r="A958" s="0" t="n">
        <f aca="false">DATEVALUE("13/marzo")</f>
        <v>46094</v>
      </c>
      <c r="B958" s="0" t="s">
        <v>961</v>
      </c>
    </row>
    <row r="959" customFormat="false" ht="15" hidden="false" customHeight="false" outlineLevel="0" collapsed="false">
      <c r="A959" s="0" t="n">
        <f aca="false">DATEVALUE("marzo/2024")</f>
        <v>45352</v>
      </c>
      <c r="B959" s="0" t="s">
        <v>962</v>
      </c>
    </row>
    <row r="960" customFormat="false" ht="15" hidden="false" customHeight="false" outlineLevel="0" collapsed="false">
      <c r="A960" s="0" t="e">
        <f aca="false">DATEVALUE("2024/marzo")</f>
        <v>#VALUE!</v>
      </c>
      <c r="B960" s="0" t="s">
        <v>963</v>
      </c>
    </row>
    <row r="961" customFormat="false" ht="15" hidden="false" customHeight="false" outlineLevel="0" collapsed="false">
      <c r="A961" s="0" t="n">
        <f aca="false">DATEVALUE("marzo/13/25")</f>
        <v>45729</v>
      </c>
      <c r="B961" s="0" t="s">
        <v>964</v>
      </c>
    </row>
    <row r="962" customFormat="false" ht="15" hidden="false" customHeight="false" outlineLevel="0" collapsed="false">
      <c r="A962" s="0" t="e">
        <f aca="false">DATEVALUE("13/marzo/25")</f>
        <v>#VALUE!</v>
      </c>
      <c r="B962" s="0" t="s">
        <v>965</v>
      </c>
    </row>
    <row r="963" customFormat="false" ht="15" hidden="false" customHeight="false" outlineLevel="0" collapsed="false">
      <c r="A963" s="0" t="e">
        <f aca="false">DATEVALUE("13. marzo 2024")</f>
        <v>#VALUE!</v>
      </c>
      <c r="B963" s="0" t="s">
        <v>966</v>
      </c>
    </row>
    <row r="964" customFormat="false" ht="15" hidden="false" customHeight="false" outlineLevel="0" collapsed="false">
      <c r="A964" s="0" t="e">
        <f aca="false">DATEVALUE("13. marzo")</f>
        <v>#VALUE!</v>
      </c>
      <c r="B964" s="0" t="s">
        <v>967</v>
      </c>
    </row>
    <row r="965" customFormat="false" ht="15" hidden="false" customHeight="false" outlineLevel="0" collapsed="false">
      <c r="A965" s="0" t="e">
        <f aca="false">DATEVALUE("marzo 13, 2024")</f>
        <v>#VALUE!</v>
      </c>
      <c r="B965" s="0" t="s">
        <v>968</v>
      </c>
    </row>
    <row r="966" customFormat="false" ht="15" hidden="false" customHeight="false" outlineLevel="0" collapsed="false">
      <c r="A966" s="0" t="e">
        <f aca="false">DATEVALUE("Monday marzo 13 2024")</f>
        <v>#VALUE!</v>
      </c>
      <c r="B966" s="0" t="s">
        <v>969</v>
      </c>
    </row>
    <row r="967" customFormat="false" ht="15" hidden="false" customHeight="false" outlineLevel="0" collapsed="false">
      <c r="A967" s="0" t="n">
        <f aca="false">DATEVALUE("marzo 13 2024 lunes")</f>
        <v>45364</v>
      </c>
      <c r="B967" s="0" t="s">
        <v>970</v>
      </c>
    </row>
    <row r="968" customFormat="false" ht="15" hidden="false" customHeight="false" outlineLevel="0" collapsed="false">
      <c r="A968" s="0" t="n">
        <f aca="false">DATEVALUE("mar 13 2024")</f>
        <v>45364</v>
      </c>
      <c r="B968" s="0" t="s">
        <v>971</v>
      </c>
    </row>
    <row r="969" customFormat="false" ht="15" hidden="false" customHeight="false" outlineLevel="0" collapsed="false">
      <c r="A969" s="0" t="n">
        <f aca="false">DATEVALUE("13 mar 2024")</f>
        <v>45364</v>
      </c>
      <c r="B969" s="0" t="s">
        <v>972</v>
      </c>
    </row>
    <row r="970" customFormat="false" ht="15" hidden="false" customHeight="false" outlineLevel="0" collapsed="false">
      <c r="A970" s="0" t="e">
        <f aca="false">DATEVALUE("2024 mar 13")</f>
        <v>#VALUE!</v>
      </c>
      <c r="B970" s="0" t="s">
        <v>973</v>
      </c>
    </row>
    <row r="971" customFormat="false" ht="15" hidden="false" customHeight="false" outlineLevel="0" collapsed="false">
      <c r="A971" s="0" t="n">
        <f aca="false">DATEVALUE("mar 13")</f>
        <v>41334</v>
      </c>
      <c r="B971" s="0" t="s">
        <v>974</v>
      </c>
    </row>
    <row r="972" customFormat="false" ht="15" hidden="false" customHeight="false" outlineLevel="0" collapsed="false">
      <c r="A972" s="0" t="n">
        <f aca="false">DATEVALUE("13 mar")</f>
        <v>46094</v>
      </c>
      <c r="B972" s="0" t="s">
        <v>975</v>
      </c>
    </row>
    <row r="973" customFormat="false" ht="15" hidden="false" customHeight="false" outlineLevel="0" collapsed="false">
      <c r="A973" s="0" t="n">
        <f aca="false">DATEVALUE("mar 2024")</f>
        <v>45352</v>
      </c>
      <c r="B973" s="0" t="s">
        <v>870</v>
      </c>
    </row>
    <row r="974" customFormat="false" ht="15" hidden="false" customHeight="false" outlineLevel="0" collapsed="false">
      <c r="A974" s="0" t="e">
        <f aca="false">DATEVALUE("2024 mar")</f>
        <v>#VALUE!</v>
      </c>
      <c r="B974" s="0" t="s">
        <v>976</v>
      </c>
    </row>
    <row r="975" customFormat="false" ht="15" hidden="false" customHeight="false" outlineLevel="0" collapsed="false">
      <c r="A975" s="0" t="n">
        <f aca="false">DATEVALUE("mar 13 25")</f>
        <v>45729</v>
      </c>
      <c r="B975" s="0" t="s">
        <v>977</v>
      </c>
    </row>
    <row r="976" customFormat="false" ht="15" hidden="false" customHeight="false" outlineLevel="0" collapsed="false">
      <c r="A976" s="0" t="n">
        <f aca="false">DATEVALUE("13 mar 25")</f>
        <v>45729</v>
      </c>
      <c r="B976" s="0" t="s">
        <v>978</v>
      </c>
    </row>
    <row r="977" customFormat="false" ht="15" hidden="false" customHeight="false" outlineLevel="0" collapsed="false">
      <c r="A977" s="0" t="e">
        <f aca="false">DATEVALUE("mar-13-2024")</f>
        <v>#VALUE!</v>
      </c>
      <c r="B977" s="0" t="s">
        <v>979</v>
      </c>
    </row>
    <row r="978" customFormat="false" ht="15" hidden="false" customHeight="false" outlineLevel="0" collapsed="false">
      <c r="A978" s="0" t="n">
        <f aca="false">DATEVALUE("13-mar-2024")</f>
        <v>45364</v>
      </c>
      <c r="B978" s="0" t="s">
        <v>980</v>
      </c>
    </row>
    <row r="979" customFormat="false" ht="15" hidden="false" customHeight="false" outlineLevel="0" collapsed="false">
      <c r="A979" s="0" t="n">
        <f aca="false">DATEVALUE("2024-mar-13")</f>
        <v>45364</v>
      </c>
      <c r="B979" s="0" t="s">
        <v>981</v>
      </c>
    </row>
    <row r="980" customFormat="false" ht="15" hidden="false" customHeight="false" outlineLevel="0" collapsed="false">
      <c r="A980" s="0" t="n">
        <f aca="false">DATEVALUE("mar-13")</f>
        <v>41334</v>
      </c>
      <c r="B980" s="0" t="s">
        <v>982</v>
      </c>
    </row>
    <row r="981" customFormat="false" ht="15" hidden="false" customHeight="false" outlineLevel="0" collapsed="false">
      <c r="A981" s="0" t="e">
        <f aca="false">DATEVALUE("13-mar")</f>
        <v>#VALUE!</v>
      </c>
      <c r="B981" s="0" t="s">
        <v>983</v>
      </c>
    </row>
    <row r="982" customFormat="false" ht="15" hidden="false" customHeight="false" outlineLevel="0" collapsed="false">
      <c r="A982" s="0" t="n">
        <f aca="false">DATEVALUE("mar-2024")</f>
        <v>45352</v>
      </c>
      <c r="B982" s="0" t="s">
        <v>984</v>
      </c>
    </row>
    <row r="983" customFormat="false" ht="15" hidden="false" customHeight="false" outlineLevel="0" collapsed="false">
      <c r="A983" s="0" t="e">
        <f aca="false">DATEVALUE("2024-mar")</f>
        <v>#VALUE!</v>
      </c>
      <c r="B983" s="0" t="s">
        <v>985</v>
      </c>
    </row>
    <row r="984" customFormat="false" ht="15" hidden="false" customHeight="false" outlineLevel="0" collapsed="false">
      <c r="A984" s="0" t="e">
        <f aca="false">DATEVALUE("mar-13-25")</f>
        <v>#VALUE!</v>
      </c>
      <c r="B984" s="0" t="s">
        <v>986</v>
      </c>
    </row>
    <row r="985" customFormat="false" ht="15" hidden="false" customHeight="false" outlineLevel="0" collapsed="false">
      <c r="A985" s="0" t="n">
        <f aca="false">DATEVALUE("13-mar-25")</f>
        <v>45729</v>
      </c>
      <c r="B985" s="0" t="s">
        <v>987</v>
      </c>
    </row>
    <row r="986" customFormat="false" ht="15" hidden="false" customHeight="false" outlineLevel="0" collapsed="false">
      <c r="A986" s="0" t="n">
        <f aca="false">DATEVALUE("mar/13/2024")</f>
        <v>45364</v>
      </c>
      <c r="B986" s="0" t="s">
        <v>988</v>
      </c>
    </row>
    <row r="987" customFormat="false" ht="15" hidden="false" customHeight="false" outlineLevel="0" collapsed="false">
      <c r="A987" s="0" t="e">
        <f aca="false">DATEVALUE("13/mar/2024")</f>
        <v>#VALUE!</v>
      </c>
      <c r="B987" s="0" t="s">
        <v>989</v>
      </c>
    </row>
    <row r="988" customFormat="false" ht="15" hidden="false" customHeight="false" outlineLevel="0" collapsed="false">
      <c r="A988" s="0" t="e">
        <f aca="false">DATEVALUE("2024/mar/13")</f>
        <v>#VALUE!</v>
      </c>
      <c r="B988" s="0" t="s">
        <v>990</v>
      </c>
    </row>
    <row r="989" customFormat="false" ht="15" hidden="false" customHeight="false" outlineLevel="0" collapsed="false">
      <c r="A989" s="0" t="n">
        <f aca="false">DATEVALUE("mar/13")</f>
        <v>41334</v>
      </c>
      <c r="B989" s="0" t="s">
        <v>991</v>
      </c>
    </row>
    <row r="990" customFormat="false" ht="15" hidden="false" customHeight="false" outlineLevel="0" collapsed="false">
      <c r="A990" s="0" t="n">
        <f aca="false">DATEVALUE("13/mar")</f>
        <v>46094</v>
      </c>
      <c r="B990" s="0" t="s">
        <v>992</v>
      </c>
    </row>
    <row r="991" customFormat="false" ht="15" hidden="false" customHeight="false" outlineLevel="0" collapsed="false">
      <c r="A991" s="0" t="n">
        <f aca="false">DATEVALUE("mar/2024")</f>
        <v>45352</v>
      </c>
      <c r="B991" s="0" t="s">
        <v>993</v>
      </c>
    </row>
    <row r="992" customFormat="false" ht="15" hidden="false" customHeight="false" outlineLevel="0" collapsed="false">
      <c r="A992" s="0" t="e">
        <f aca="false">DATEVALUE("2024/mar")</f>
        <v>#VALUE!</v>
      </c>
      <c r="B992" s="0" t="s">
        <v>994</v>
      </c>
    </row>
    <row r="993" customFormat="false" ht="15" hidden="false" customHeight="false" outlineLevel="0" collapsed="false">
      <c r="A993" s="0" t="n">
        <f aca="false">DATEVALUE("mar/13/25")</f>
        <v>45729</v>
      </c>
      <c r="B993" s="0" t="s">
        <v>995</v>
      </c>
    </row>
    <row r="994" customFormat="false" ht="15" hidden="false" customHeight="false" outlineLevel="0" collapsed="false">
      <c r="A994" s="0" t="e">
        <f aca="false">DATEVALUE("13/mar/25")</f>
        <v>#VALUE!</v>
      </c>
      <c r="B994" s="0" t="s">
        <v>996</v>
      </c>
    </row>
    <row r="995" customFormat="false" ht="15" hidden="false" customHeight="false" outlineLevel="0" collapsed="false">
      <c r="A995" s="0" t="e">
        <f aca="false">DATEVALUE("13. mar 2024")</f>
        <v>#VALUE!</v>
      </c>
      <c r="B995" s="0" t="s">
        <v>997</v>
      </c>
    </row>
    <row r="996" customFormat="false" ht="15" hidden="false" customHeight="false" outlineLevel="0" collapsed="false">
      <c r="A996" s="0" t="e">
        <f aca="false">DATEVALUE("13. mar")</f>
        <v>#VALUE!</v>
      </c>
      <c r="B996" s="0" t="s">
        <v>998</v>
      </c>
    </row>
    <row r="997" customFormat="false" ht="15" hidden="false" customHeight="false" outlineLevel="0" collapsed="false">
      <c r="A997" s="0" t="e">
        <f aca="false">DATEVALUE("mar 13, 2024")</f>
        <v>#VALUE!</v>
      </c>
      <c r="B997" s="0" t="s">
        <v>999</v>
      </c>
    </row>
    <row r="998" customFormat="false" ht="15" hidden="false" customHeight="false" outlineLevel="0" collapsed="false">
      <c r="A998" s="0" t="e">
        <f aca="false">DATEVALUE("Monday mar 13 2024")</f>
        <v>#VALUE!</v>
      </c>
      <c r="B998" s="0" t="s">
        <v>1000</v>
      </c>
    </row>
    <row r="999" customFormat="false" ht="15" hidden="false" customHeight="false" outlineLevel="0" collapsed="false">
      <c r="A999" s="0" t="n">
        <f aca="false">DATEVALUE("mar 13 2024 lunes")</f>
        <v>45364</v>
      </c>
      <c r="B999" s="0" t="s">
        <v>1001</v>
      </c>
    </row>
    <row r="1000" customFormat="false" ht="15" hidden="false" customHeight="false" outlineLevel="0" collapsed="false">
      <c r="A1000" s="0" t="n">
        <f aca="false">DATEVALUE("MARZO 13 2024")</f>
        <v>45364</v>
      </c>
      <c r="B1000" s="0" t="s">
        <v>1002</v>
      </c>
    </row>
    <row r="1001" customFormat="false" ht="15" hidden="false" customHeight="false" outlineLevel="0" collapsed="false">
      <c r="A1001" s="0" t="n">
        <f aca="false">DATEVALUE("13 MARZO 2024")</f>
        <v>45364</v>
      </c>
      <c r="B1001" s="0" t="s">
        <v>1003</v>
      </c>
    </row>
    <row r="1002" customFormat="false" ht="15" hidden="false" customHeight="false" outlineLevel="0" collapsed="false">
      <c r="A1002" s="0" t="e">
        <f aca="false">DATEVALUE("2024 MARZO 13")</f>
        <v>#VALUE!</v>
      </c>
      <c r="B1002" s="0" t="s">
        <v>1004</v>
      </c>
    </row>
    <row r="1003" customFormat="false" ht="15" hidden="false" customHeight="false" outlineLevel="0" collapsed="false">
      <c r="A1003" s="0" t="n">
        <f aca="false">DATEVALUE("MARZO 13")</f>
        <v>41334</v>
      </c>
      <c r="B1003" s="0" t="s">
        <v>1005</v>
      </c>
    </row>
    <row r="1004" customFormat="false" ht="15" hidden="false" customHeight="false" outlineLevel="0" collapsed="false">
      <c r="A1004" s="0" t="n">
        <f aca="false">DATEVALUE("13 MARZO")</f>
        <v>46094</v>
      </c>
      <c r="B1004" s="0" t="s">
        <v>1006</v>
      </c>
    </row>
    <row r="1005" customFormat="false" ht="15" hidden="false" customHeight="false" outlineLevel="0" collapsed="false">
      <c r="A1005" s="0" t="n">
        <f aca="false">DATEVALUE("MARZO 2024")</f>
        <v>45352</v>
      </c>
      <c r="B1005" s="0" t="s">
        <v>1007</v>
      </c>
    </row>
    <row r="1006" customFormat="false" ht="15" hidden="false" customHeight="false" outlineLevel="0" collapsed="false">
      <c r="A1006" s="0" t="e">
        <f aca="false">DATEVALUE("2024 MARZO")</f>
        <v>#VALUE!</v>
      </c>
      <c r="B1006" s="0" t="s">
        <v>1008</v>
      </c>
    </row>
    <row r="1007" customFormat="false" ht="15" hidden="false" customHeight="false" outlineLevel="0" collapsed="false">
      <c r="A1007" s="0" t="n">
        <f aca="false">DATEVALUE("MARZO 13 25")</f>
        <v>45729</v>
      </c>
      <c r="B1007" s="0" t="s">
        <v>1009</v>
      </c>
    </row>
    <row r="1008" customFormat="false" ht="15" hidden="false" customHeight="false" outlineLevel="0" collapsed="false">
      <c r="A1008" s="0" t="n">
        <f aca="false">DATEVALUE("13 MARZO 25")</f>
        <v>45729</v>
      </c>
      <c r="B1008" s="0" t="s">
        <v>1010</v>
      </c>
    </row>
    <row r="1009" customFormat="false" ht="15" hidden="false" customHeight="false" outlineLevel="0" collapsed="false">
      <c r="A1009" s="0" t="e">
        <f aca="false">DATEVALUE("MARZO-13-2024")</f>
        <v>#VALUE!</v>
      </c>
      <c r="B1009" s="0" t="s">
        <v>1011</v>
      </c>
    </row>
    <row r="1010" customFormat="false" ht="15" hidden="false" customHeight="false" outlineLevel="0" collapsed="false">
      <c r="A1010" s="0" t="n">
        <f aca="false">DATEVALUE("13-MARZO-2024")</f>
        <v>45364</v>
      </c>
      <c r="B1010" s="0" t="s">
        <v>1012</v>
      </c>
    </row>
    <row r="1011" customFormat="false" ht="15" hidden="false" customHeight="false" outlineLevel="0" collapsed="false">
      <c r="A1011" s="0" t="n">
        <f aca="false">DATEVALUE("2024-MARZO-13")</f>
        <v>45364</v>
      </c>
      <c r="B1011" s="0" t="s">
        <v>1013</v>
      </c>
    </row>
    <row r="1012" customFormat="false" ht="15" hidden="false" customHeight="false" outlineLevel="0" collapsed="false">
      <c r="A1012" s="0" t="n">
        <f aca="false">DATEVALUE("MARZO-13")</f>
        <v>41334</v>
      </c>
      <c r="B1012" s="0" t="s">
        <v>1014</v>
      </c>
    </row>
    <row r="1013" customFormat="false" ht="15" hidden="false" customHeight="false" outlineLevel="0" collapsed="false">
      <c r="A1013" s="0" t="e">
        <f aca="false">DATEVALUE("13-MARZO")</f>
        <v>#VALUE!</v>
      </c>
      <c r="B1013" s="0" t="s">
        <v>1015</v>
      </c>
    </row>
    <row r="1014" customFormat="false" ht="15" hidden="false" customHeight="false" outlineLevel="0" collapsed="false">
      <c r="A1014" s="0" t="n">
        <f aca="false">DATEVALUE("MARZO-2024")</f>
        <v>45352</v>
      </c>
      <c r="B1014" s="0" t="s">
        <v>1016</v>
      </c>
    </row>
    <row r="1015" customFormat="false" ht="15" hidden="false" customHeight="false" outlineLevel="0" collapsed="false">
      <c r="A1015" s="0" t="e">
        <f aca="false">DATEVALUE("2024-MARZO")</f>
        <v>#VALUE!</v>
      </c>
      <c r="B1015" s="0" t="s">
        <v>1017</v>
      </c>
    </row>
    <row r="1016" customFormat="false" ht="15" hidden="false" customHeight="false" outlineLevel="0" collapsed="false">
      <c r="A1016" s="0" t="e">
        <f aca="false">DATEVALUE("MARZO-13-25")</f>
        <v>#VALUE!</v>
      </c>
      <c r="B1016" s="0" t="s">
        <v>1018</v>
      </c>
    </row>
    <row r="1017" customFormat="false" ht="15" hidden="false" customHeight="false" outlineLevel="0" collapsed="false">
      <c r="A1017" s="0" t="n">
        <f aca="false">DATEVALUE("13-MARZO-25")</f>
        <v>45729</v>
      </c>
      <c r="B1017" s="0" t="s">
        <v>1019</v>
      </c>
    </row>
    <row r="1018" customFormat="false" ht="15" hidden="false" customHeight="false" outlineLevel="0" collapsed="false">
      <c r="A1018" s="0" t="n">
        <f aca="false">DATEVALUE("MARZO/13/2024")</f>
        <v>45364</v>
      </c>
      <c r="B1018" s="0" t="s">
        <v>1020</v>
      </c>
    </row>
    <row r="1019" customFormat="false" ht="15" hidden="false" customHeight="false" outlineLevel="0" collapsed="false">
      <c r="A1019" s="0" t="e">
        <f aca="false">DATEVALUE("13/MARZO/2024")</f>
        <v>#VALUE!</v>
      </c>
      <c r="B1019" s="0" t="s">
        <v>1021</v>
      </c>
    </row>
    <row r="1020" customFormat="false" ht="15" hidden="false" customHeight="false" outlineLevel="0" collapsed="false">
      <c r="A1020" s="0" t="e">
        <f aca="false">DATEVALUE("2024/MARZO/13")</f>
        <v>#VALUE!</v>
      </c>
      <c r="B1020" s="0" t="s">
        <v>1022</v>
      </c>
    </row>
    <row r="1021" customFormat="false" ht="15" hidden="false" customHeight="false" outlineLevel="0" collapsed="false">
      <c r="A1021" s="0" t="n">
        <f aca="false">DATEVALUE("MARZO/13")</f>
        <v>41334</v>
      </c>
      <c r="B1021" s="0" t="s">
        <v>1023</v>
      </c>
    </row>
    <row r="1022" customFormat="false" ht="15" hidden="false" customHeight="false" outlineLevel="0" collapsed="false">
      <c r="A1022" s="0" t="n">
        <f aca="false">DATEVALUE("13/MARZO")</f>
        <v>46094</v>
      </c>
      <c r="B1022" s="0" t="s">
        <v>1024</v>
      </c>
    </row>
    <row r="1023" customFormat="false" ht="15" hidden="false" customHeight="false" outlineLevel="0" collapsed="false">
      <c r="A1023" s="0" t="n">
        <f aca="false">DATEVALUE("MARZO/2024")</f>
        <v>45352</v>
      </c>
      <c r="B1023" s="0" t="s">
        <v>1025</v>
      </c>
    </row>
    <row r="1024" customFormat="false" ht="15" hidden="false" customHeight="false" outlineLevel="0" collapsed="false">
      <c r="A1024" s="0" t="e">
        <f aca="false">DATEVALUE("2024/MARZO")</f>
        <v>#VALUE!</v>
      </c>
      <c r="B1024" s="0" t="s">
        <v>1026</v>
      </c>
    </row>
    <row r="1025" customFormat="false" ht="15" hidden="false" customHeight="false" outlineLevel="0" collapsed="false">
      <c r="A1025" s="0" t="n">
        <f aca="false">DATEVALUE("MARZO/13/25")</f>
        <v>45729</v>
      </c>
      <c r="B1025" s="0" t="s">
        <v>1027</v>
      </c>
    </row>
    <row r="1026" customFormat="false" ht="15" hidden="false" customHeight="false" outlineLevel="0" collapsed="false">
      <c r="A1026" s="0" t="e">
        <f aca="false">DATEVALUE("13/MARZO/25")</f>
        <v>#VALUE!</v>
      </c>
      <c r="B1026" s="0" t="s">
        <v>1028</v>
      </c>
    </row>
    <row r="1027" customFormat="false" ht="15" hidden="false" customHeight="false" outlineLevel="0" collapsed="false">
      <c r="A1027" s="0" t="e">
        <f aca="false">DATEVALUE("13. MARZO 2024")</f>
        <v>#VALUE!</v>
      </c>
      <c r="B1027" s="0" t="s">
        <v>1029</v>
      </c>
    </row>
    <row r="1028" customFormat="false" ht="15" hidden="false" customHeight="false" outlineLevel="0" collapsed="false">
      <c r="A1028" s="0" t="e">
        <f aca="false">DATEVALUE("13. MARZO")</f>
        <v>#VALUE!</v>
      </c>
      <c r="B1028" s="0" t="s">
        <v>1030</v>
      </c>
    </row>
    <row r="1029" customFormat="false" ht="15" hidden="false" customHeight="false" outlineLevel="0" collapsed="false">
      <c r="A1029" s="0" t="e">
        <f aca="false">DATEVALUE("MARZO 13, 2024")</f>
        <v>#VALUE!</v>
      </c>
      <c r="B1029" s="0" t="s">
        <v>1031</v>
      </c>
    </row>
    <row r="1030" customFormat="false" ht="15" hidden="false" customHeight="false" outlineLevel="0" collapsed="false">
      <c r="A1030" s="0" t="e">
        <f aca="false">DATEVALUE("Monday MARZO 13 2024")</f>
        <v>#VALUE!</v>
      </c>
      <c r="B1030" s="0" t="s">
        <v>1032</v>
      </c>
    </row>
    <row r="1031" customFormat="false" ht="15" hidden="false" customHeight="false" outlineLevel="0" collapsed="false">
      <c r="A1031" s="0" t="n">
        <f aca="false">DATEVALUE("MARZO 13 2024 lunes")</f>
        <v>45364</v>
      </c>
      <c r="B1031" s="0" t="s">
        <v>1033</v>
      </c>
    </row>
    <row r="1032" customFormat="false" ht="15" hidden="false" customHeight="false" outlineLevel="0" collapsed="false">
      <c r="A1032" s="0" t="n">
        <f aca="false">DATEVALUE("mar. 13 2024")</f>
        <v>45364</v>
      </c>
      <c r="B1032" s="0" t="s">
        <v>1034</v>
      </c>
    </row>
    <row r="1033" customFormat="false" ht="15" hidden="false" customHeight="false" outlineLevel="0" collapsed="false">
      <c r="A1033" s="0" t="n">
        <f aca="false">DATEVALUE("13 mar. 2024")</f>
        <v>45364</v>
      </c>
      <c r="B1033" s="0" t="s">
        <v>1035</v>
      </c>
    </row>
    <row r="1034" customFormat="false" ht="15" hidden="false" customHeight="false" outlineLevel="0" collapsed="false">
      <c r="A1034" s="0" t="e">
        <f aca="false">DATEVALUE("2024 mar. 13")</f>
        <v>#VALUE!</v>
      </c>
      <c r="B1034" s="0" t="s">
        <v>1036</v>
      </c>
    </row>
    <row r="1035" customFormat="false" ht="15" hidden="false" customHeight="false" outlineLevel="0" collapsed="false">
      <c r="A1035" s="0" t="n">
        <f aca="false">DATEVALUE("mar. 13")</f>
        <v>41334</v>
      </c>
      <c r="B1035" s="0" t="s">
        <v>1037</v>
      </c>
    </row>
    <row r="1036" customFormat="false" ht="15" hidden="false" customHeight="false" outlineLevel="0" collapsed="false">
      <c r="A1036" s="0" t="n">
        <f aca="false">DATEVALUE("13 mar.")</f>
        <v>46094</v>
      </c>
      <c r="B1036" s="0" t="s">
        <v>1038</v>
      </c>
    </row>
    <row r="1037" customFormat="false" ht="15" hidden="false" customHeight="false" outlineLevel="0" collapsed="false">
      <c r="A1037" s="0" t="n">
        <f aca="false">DATEVALUE("mar. 2024")</f>
        <v>45352</v>
      </c>
      <c r="B1037" s="0" t="s">
        <v>1039</v>
      </c>
    </row>
    <row r="1038" customFormat="false" ht="15" hidden="false" customHeight="false" outlineLevel="0" collapsed="false">
      <c r="A1038" s="0" t="e">
        <f aca="false">DATEVALUE("2024 mar.")</f>
        <v>#VALUE!</v>
      </c>
      <c r="B1038" s="0" t="s">
        <v>1040</v>
      </c>
    </row>
    <row r="1039" customFormat="false" ht="15" hidden="false" customHeight="false" outlineLevel="0" collapsed="false">
      <c r="A1039" s="0" t="n">
        <f aca="false">DATEVALUE("mar. 13 25")</f>
        <v>45729</v>
      </c>
      <c r="B1039" s="0" t="s">
        <v>1041</v>
      </c>
    </row>
    <row r="1040" customFormat="false" ht="15" hidden="false" customHeight="false" outlineLevel="0" collapsed="false">
      <c r="A1040" s="0" t="n">
        <f aca="false">DATEVALUE("13 mar. 25")</f>
        <v>45729</v>
      </c>
      <c r="B1040" s="0" t="s">
        <v>1042</v>
      </c>
    </row>
    <row r="1041" customFormat="false" ht="15" hidden="false" customHeight="false" outlineLevel="0" collapsed="false">
      <c r="A1041" s="0" t="e">
        <f aca="false">DATEVALUE("mar.-13-2024")</f>
        <v>#VALUE!</v>
      </c>
      <c r="B1041" s="0" t="s">
        <v>1043</v>
      </c>
    </row>
    <row r="1042" customFormat="false" ht="15" hidden="false" customHeight="false" outlineLevel="0" collapsed="false">
      <c r="A1042" s="0" t="e">
        <f aca="false">DATEVALUE("13-mar.-2024")</f>
        <v>#VALUE!</v>
      </c>
      <c r="B1042" s="0" t="s">
        <v>1044</v>
      </c>
    </row>
    <row r="1043" customFormat="false" ht="15" hidden="false" customHeight="false" outlineLevel="0" collapsed="false">
      <c r="A1043" s="0" t="e">
        <f aca="false">DATEVALUE("2024-mar.-13")</f>
        <v>#VALUE!</v>
      </c>
      <c r="B1043" s="0" t="s">
        <v>1045</v>
      </c>
    </row>
    <row r="1044" customFormat="false" ht="15" hidden="false" customHeight="false" outlineLevel="0" collapsed="false">
      <c r="A1044" s="0" t="n">
        <f aca="false">DATEVALUE("mar.-13")</f>
        <v>41334</v>
      </c>
      <c r="B1044" s="0" t="s">
        <v>1046</v>
      </c>
    </row>
    <row r="1045" customFormat="false" ht="15" hidden="false" customHeight="false" outlineLevel="0" collapsed="false">
      <c r="A1045" s="0" t="e">
        <f aca="false">DATEVALUE("13-mar.")</f>
        <v>#VALUE!</v>
      </c>
      <c r="B1045" s="0" t="s">
        <v>1047</v>
      </c>
    </row>
    <row r="1046" customFormat="false" ht="15" hidden="false" customHeight="false" outlineLevel="0" collapsed="false">
      <c r="A1046" s="0" t="n">
        <f aca="false">DATEVALUE("mar.-2024")</f>
        <v>45352</v>
      </c>
      <c r="B1046" s="0" t="s">
        <v>1048</v>
      </c>
    </row>
    <row r="1047" customFormat="false" ht="15" hidden="false" customHeight="false" outlineLevel="0" collapsed="false">
      <c r="A1047" s="0" t="e">
        <f aca="false">DATEVALUE("2024-mar.")</f>
        <v>#VALUE!</v>
      </c>
      <c r="B1047" s="0" t="s">
        <v>1049</v>
      </c>
    </row>
    <row r="1048" customFormat="false" ht="15" hidden="false" customHeight="false" outlineLevel="0" collapsed="false">
      <c r="A1048" s="0" t="e">
        <f aca="false">DATEVALUE("mar.-13-25")</f>
        <v>#VALUE!</v>
      </c>
      <c r="B1048" s="0" t="s">
        <v>1050</v>
      </c>
    </row>
    <row r="1049" customFormat="false" ht="15" hidden="false" customHeight="false" outlineLevel="0" collapsed="false">
      <c r="A1049" s="0" t="e">
        <f aca="false">DATEVALUE("13-mar.-25")</f>
        <v>#VALUE!</v>
      </c>
      <c r="B1049" s="0" t="s">
        <v>1051</v>
      </c>
    </row>
    <row r="1050" customFormat="false" ht="15" hidden="false" customHeight="false" outlineLevel="0" collapsed="false">
      <c r="A1050" s="0" t="n">
        <f aca="false">DATEVALUE("mar./13/2024")</f>
        <v>45364</v>
      </c>
      <c r="B1050" s="0" t="s">
        <v>1052</v>
      </c>
    </row>
    <row r="1051" customFormat="false" ht="15" hidden="false" customHeight="false" outlineLevel="0" collapsed="false">
      <c r="A1051" s="0" t="e">
        <f aca="false">DATEVALUE("13/mar./2024")</f>
        <v>#VALUE!</v>
      </c>
      <c r="B1051" s="0" t="s">
        <v>1053</v>
      </c>
    </row>
    <row r="1052" customFormat="false" ht="15" hidden="false" customHeight="false" outlineLevel="0" collapsed="false">
      <c r="A1052" s="0" t="e">
        <f aca="false">DATEVALUE("2024/mar./13")</f>
        <v>#VALUE!</v>
      </c>
      <c r="B1052" s="0" t="s">
        <v>1054</v>
      </c>
    </row>
    <row r="1053" customFormat="false" ht="15" hidden="false" customHeight="false" outlineLevel="0" collapsed="false">
      <c r="A1053" s="0" t="n">
        <f aca="false">DATEVALUE("mar./13")</f>
        <v>41334</v>
      </c>
      <c r="B1053" s="0" t="s">
        <v>1055</v>
      </c>
    </row>
    <row r="1054" customFormat="false" ht="15" hidden="false" customHeight="false" outlineLevel="0" collapsed="false">
      <c r="A1054" s="0" t="n">
        <f aca="false">DATEVALUE("13/mar.")</f>
        <v>46094</v>
      </c>
      <c r="B1054" s="0" t="s">
        <v>1056</v>
      </c>
    </row>
    <row r="1055" customFormat="false" ht="15" hidden="false" customHeight="false" outlineLevel="0" collapsed="false">
      <c r="A1055" s="0" t="n">
        <f aca="false">DATEVALUE("mar./2024")</f>
        <v>45352</v>
      </c>
      <c r="B1055" s="0" t="s">
        <v>1057</v>
      </c>
    </row>
    <row r="1056" customFormat="false" ht="15" hidden="false" customHeight="false" outlineLevel="0" collapsed="false">
      <c r="A1056" s="0" t="e">
        <f aca="false">DATEVALUE("2024/mar.")</f>
        <v>#VALUE!</v>
      </c>
      <c r="B1056" s="0" t="s">
        <v>1058</v>
      </c>
    </row>
    <row r="1057" customFormat="false" ht="15" hidden="false" customHeight="false" outlineLevel="0" collapsed="false">
      <c r="A1057" s="0" t="n">
        <f aca="false">DATEVALUE("mar./13/25")</f>
        <v>45729</v>
      </c>
      <c r="B1057" s="0" t="s">
        <v>1059</v>
      </c>
    </row>
    <row r="1058" customFormat="false" ht="15" hidden="false" customHeight="false" outlineLevel="0" collapsed="false">
      <c r="A1058" s="0" t="e">
        <f aca="false">DATEVALUE("13/mar./25")</f>
        <v>#VALUE!</v>
      </c>
      <c r="B1058" s="0" t="s">
        <v>1060</v>
      </c>
    </row>
    <row r="1059" customFormat="false" ht="15" hidden="false" customHeight="false" outlineLevel="0" collapsed="false">
      <c r="A1059" s="0" t="e">
        <f aca="false">DATEVALUE("13. mar. 2024")</f>
        <v>#VALUE!</v>
      </c>
      <c r="B1059" s="0" t="s">
        <v>1061</v>
      </c>
    </row>
    <row r="1060" customFormat="false" ht="15" hidden="false" customHeight="false" outlineLevel="0" collapsed="false">
      <c r="A1060" s="0" t="e">
        <f aca="false">DATEVALUE("13. mar.")</f>
        <v>#VALUE!</v>
      </c>
      <c r="B1060" s="0" t="s">
        <v>1062</v>
      </c>
    </row>
    <row r="1061" customFormat="false" ht="15" hidden="false" customHeight="false" outlineLevel="0" collapsed="false">
      <c r="A1061" s="0" t="e">
        <f aca="false">DATEVALUE("mar. 13, 2024")</f>
        <v>#VALUE!</v>
      </c>
      <c r="B1061" s="0" t="s">
        <v>1063</v>
      </c>
    </row>
    <row r="1062" customFormat="false" ht="15" hidden="false" customHeight="false" outlineLevel="0" collapsed="false">
      <c r="A1062" s="0" t="e">
        <f aca="false">DATEVALUE("Monday mar. 13 2024")</f>
        <v>#VALUE!</v>
      </c>
      <c r="B1062" s="0" t="s">
        <v>1064</v>
      </c>
    </row>
    <row r="1063" customFormat="false" ht="15" hidden="false" customHeight="false" outlineLevel="0" collapsed="false">
      <c r="A1063" s="0" t="n">
        <f aca="false">DATEVALUE("mar. 13 2024 lunes")</f>
        <v>45364</v>
      </c>
      <c r="B1063" s="0" t="s">
        <v>1065</v>
      </c>
    </row>
    <row r="1064" customFormat="false" ht="15" hidden="false" customHeight="false" outlineLevel="0" collapsed="false">
      <c r="A1064" s="0" t="n">
        <f aca="false">DATEVALUE("Sept 13 2024")</f>
        <v>45548</v>
      </c>
      <c r="B1064" s="0" t="s">
        <v>1066</v>
      </c>
    </row>
    <row r="1065" customFormat="false" ht="15" hidden="false" customHeight="false" outlineLevel="0" collapsed="false">
      <c r="A1065" s="0" t="n">
        <f aca="false">DATEVALUE("13 Sept 2024")</f>
        <v>45548</v>
      </c>
      <c r="B1065" s="0" t="s">
        <v>1067</v>
      </c>
    </row>
    <row r="1066" customFormat="false" ht="15" hidden="false" customHeight="false" outlineLevel="0" collapsed="false">
      <c r="A1066" s="0" t="e">
        <f aca="false">DATEVALUE("2024 Sept 13")</f>
        <v>#VALUE!</v>
      </c>
      <c r="B1066" s="0" t="s">
        <v>1068</v>
      </c>
    </row>
    <row r="1067" customFormat="false" ht="15" hidden="false" customHeight="false" outlineLevel="0" collapsed="false">
      <c r="A1067" s="0" t="n">
        <f aca="false">DATEVALUE("Sept 13")</f>
        <v>41518</v>
      </c>
      <c r="B1067" s="0" t="s">
        <v>1069</v>
      </c>
    </row>
    <row r="1068" customFormat="false" ht="15" hidden="false" customHeight="false" outlineLevel="0" collapsed="false">
      <c r="A1068" s="0" t="n">
        <f aca="false">DATEVALUE("13 Sept")</f>
        <v>46278</v>
      </c>
      <c r="B1068" s="0" t="s">
        <v>1070</v>
      </c>
    </row>
    <row r="1069" customFormat="false" ht="15" hidden="false" customHeight="false" outlineLevel="0" collapsed="false">
      <c r="A1069" s="0" t="n">
        <f aca="false">DATEVALUE("Sept 2024")</f>
        <v>45536</v>
      </c>
      <c r="B1069" s="0" t="s">
        <v>1071</v>
      </c>
    </row>
    <row r="1070" customFormat="false" ht="15" hidden="false" customHeight="false" outlineLevel="0" collapsed="false">
      <c r="A1070" s="0" t="e">
        <f aca="false">DATEVALUE("2024 Sept")</f>
        <v>#VALUE!</v>
      </c>
      <c r="B1070" s="0" t="s">
        <v>1072</v>
      </c>
    </row>
    <row r="1071" customFormat="false" ht="15" hidden="false" customHeight="false" outlineLevel="0" collapsed="false">
      <c r="A1071" s="0" t="n">
        <f aca="false">DATEVALUE("Sept 13 25")</f>
        <v>45913</v>
      </c>
      <c r="B1071" s="0" t="s">
        <v>1073</v>
      </c>
    </row>
    <row r="1072" customFormat="false" ht="15" hidden="false" customHeight="false" outlineLevel="0" collapsed="false">
      <c r="A1072" s="0" t="n">
        <f aca="false">DATEVALUE("13 Sept 25")</f>
        <v>45913</v>
      </c>
      <c r="B1072" s="0" t="s">
        <v>1074</v>
      </c>
    </row>
    <row r="1073" customFormat="false" ht="15" hidden="false" customHeight="false" outlineLevel="0" collapsed="false">
      <c r="A1073" s="0" t="e">
        <f aca="false">DATEVALUE("Sept-13-2024")</f>
        <v>#VALUE!</v>
      </c>
      <c r="B1073" s="0" t="s">
        <v>1075</v>
      </c>
    </row>
    <row r="1074" customFormat="false" ht="15" hidden="false" customHeight="false" outlineLevel="0" collapsed="false">
      <c r="A1074" s="0" t="n">
        <f aca="false">DATEVALUE("13-Sept-2024")</f>
        <v>45548</v>
      </c>
      <c r="B1074" s="0" t="s">
        <v>1076</v>
      </c>
    </row>
    <row r="1075" customFormat="false" ht="15" hidden="false" customHeight="false" outlineLevel="0" collapsed="false">
      <c r="A1075" s="0" t="n">
        <f aca="false">DATEVALUE("2024-Sept-13")</f>
        <v>45548</v>
      </c>
      <c r="B1075" s="0" t="s">
        <v>1077</v>
      </c>
    </row>
    <row r="1076" customFormat="false" ht="15" hidden="false" customHeight="false" outlineLevel="0" collapsed="false">
      <c r="A1076" s="0" t="n">
        <f aca="false">DATEVALUE("Sept-13")</f>
        <v>41518</v>
      </c>
      <c r="B1076" s="0" t="s">
        <v>1078</v>
      </c>
    </row>
    <row r="1077" customFormat="false" ht="15" hidden="false" customHeight="false" outlineLevel="0" collapsed="false">
      <c r="A1077" s="0" t="e">
        <f aca="false">DATEVALUE("13-Sept")</f>
        <v>#VALUE!</v>
      </c>
      <c r="B1077" s="0" t="s">
        <v>1079</v>
      </c>
    </row>
    <row r="1078" customFormat="false" ht="15" hidden="false" customHeight="false" outlineLevel="0" collapsed="false">
      <c r="A1078" s="0" t="n">
        <f aca="false">DATEVALUE("Sept-2024")</f>
        <v>45536</v>
      </c>
      <c r="B1078" s="0" t="s">
        <v>1080</v>
      </c>
    </row>
    <row r="1079" customFormat="false" ht="15" hidden="false" customHeight="false" outlineLevel="0" collapsed="false">
      <c r="A1079" s="0" t="e">
        <f aca="false">DATEVALUE("2024-Sept")</f>
        <v>#VALUE!</v>
      </c>
      <c r="B1079" s="0" t="s">
        <v>1081</v>
      </c>
    </row>
    <row r="1080" customFormat="false" ht="15" hidden="false" customHeight="false" outlineLevel="0" collapsed="false">
      <c r="A1080" s="0" t="e">
        <f aca="false">DATEVALUE("Sept-13-25")</f>
        <v>#VALUE!</v>
      </c>
      <c r="B1080" s="0" t="s">
        <v>1082</v>
      </c>
    </row>
    <row r="1081" customFormat="false" ht="15" hidden="false" customHeight="false" outlineLevel="0" collapsed="false">
      <c r="A1081" s="0" t="n">
        <f aca="false">DATEVALUE("13-Sept-25")</f>
        <v>45913</v>
      </c>
      <c r="B1081" s="0" t="s">
        <v>1083</v>
      </c>
    </row>
    <row r="1082" customFormat="false" ht="15" hidden="false" customHeight="false" outlineLevel="0" collapsed="false">
      <c r="A1082" s="0" t="n">
        <f aca="false">DATEVALUE("Sept/13/2024")</f>
        <v>45548</v>
      </c>
      <c r="B1082" s="0" t="s">
        <v>1084</v>
      </c>
    </row>
    <row r="1083" customFormat="false" ht="15" hidden="false" customHeight="false" outlineLevel="0" collapsed="false">
      <c r="A1083" s="0" t="e">
        <f aca="false">DATEVALUE("13/Sept/2024")</f>
        <v>#VALUE!</v>
      </c>
      <c r="B1083" s="0" t="s">
        <v>1085</v>
      </c>
    </row>
    <row r="1084" customFormat="false" ht="15" hidden="false" customHeight="false" outlineLevel="0" collapsed="false">
      <c r="A1084" s="0" t="e">
        <f aca="false">DATEVALUE("2024/Sept/13")</f>
        <v>#VALUE!</v>
      </c>
      <c r="B1084" s="0" t="s">
        <v>1086</v>
      </c>
    </row>
    <row r="1085" customFormat="false" ht="15" hidden="false" customHeight="false" outlineLevel="0" collapsed="false">
      <c r="A1085" s="0" t="n">
        <f aca="false">DATEVALUE("Sept/13")</f>
        <v>41518</v>
      </c>
      <c r="B1085" s="0" t="s">
        <v>1087</v>
      </c>
    </row>
    <row r="1086" customFormat="false" ht="15" hidden="false" customHeight="false" outlineLevel="0" collapsed="false">
      <c r="A1086" s="0" t="n">
        <f aca="false">DATEVALUE("13/Sept")</f>
        <v>46278</v>
      </c>
      <c r="B1086" s="0" t="s">
        <v>1088</v>
      </c>
    </row>
    <row r="1087" customFormat="false" ht="15" hidden="false" customHeight="false" outlineLevel="0" collapsed="false">
      <c r="A1087" s="0" t="n">
        <f aca="false">DATEVALUE("Sept/2024")</f>
        <v>45536</v>
      </c>
      <c r="B1087" s="0" t="s">
        <v>1089</v>
      </c>
    </row>
    <row r="1088" customFormat="false" ht="15" hidden="false" customHeight="false" outlineLevel="0" collapsed="false">
      <c r="A1088" s="0" t="e">
        <f aca="false">DATEVALUE("2024/Sept")</f>
        <v>#VALUE!</v>
      </c>
      <c r="B1088" s="0" t="s">
        <v>1090</v>
      </c>
    </row>
    <row r="1089" customFormat="false" ht="15" hidden="false" customHeight="false" outlineLevel="0" collapsed="false">
      <c r="A1089" s="0" t="n">
        <f aca="false">DATEVALUE("Sept/13/25")</f>
        <v>45913</v>
      </c>
      <c r="B1089" s="0" t="s">
        <v>1091</v>
      </c>
    </row>
    <row r="1090" customFormat="false" ht="15" hidden="false" customHeight="false" outlineLevel="0" collapsed="false">
      <c r="A1090" s="0" t="e">
        <f aca="false">DATEVALUE("13/Sept/25")</f>
        <v>#VALUE!</v>
      </c>
      <c r="B1090" s="0" t="s">
        <v>1092</v>
      </c>
    </row>
    <row r="1091" customFormat="false" ht="15" hidden="false" customHeight="false" outlineLevel="0" collapsed="false">
      <c r="A1091" s="0" t="e">
        <f aca="false">DATEVALUE("13. Sept 2024")</f>
        <v>#VALUE!</v>
      </c>
      <c r="B1091" s="0" t="s">
        <v>1093</v>
      </c>
    </row>
    <row r="1092" customFormat="false" ht="15" hidden="false" customHeight="false" outlineLevel="0" collapsed="false">
      <c r="A1092" s="0" t="e">
        <f aca="false">DATEVALUE("13. Sept")</f>
        <v>#VALUE!</v>
      </c>
      <c r="B1092" s="0" t="s">
        <v>1094</v>
      </c>
    </row>
    <row r="1093" customFormat="false" ht="15" hidden="false" customHeight="false" outlineLevel="0" collapsed="false">
      <c r="A1093" s="0" t="e">
        <f aca="false">DATEVALUE("Sept 13, 2024")</f>
        <v>#VALUE!</v>
      </c>
      <c r="B1093" s="0" t="s">
        <v>1095</v>
      </c>
    </row>
    <row r="1094" customFormat="false" ht="15" hidden="false" customHeight="false" outlineLevel="0" collapsed="false">
      <c r="A1094" s="0" t="e">
        <f aca="false">DATEVALUE("Monday Sept 13 2024")</f>
        <v>#VALUE!</v>
      </c>
      <c r="B1094" s="0" t="s">
        <v>1096</v>
      </c>
    </row>
    <row r="1095" customFormat="false" ht="15" hidden="false" customHeight="false" outlineLevel="0" collapsed="false">
      <c r="A1095" s="0" t="n">
        <f aca="false">DATEVALUE("Sept 13 2024 lunes")</f>
        <v>45548</v>
      </c>
      <c r="B1095" s="0" t="s">
        <v>1097</v>
      </c>
    </row>
    <row r="1096" customFormat="false" ht="15" hidden="false" customHeight="false" outlineLevel="0" collapsed="false">
      <c r="A1096" s="0" t="n">
        <f aca="false">DATEVALUE("septiembre 13 2024")</f>
        <v>45548</v>
      </c>
      <c r="B1096" s="0" t="s">
        <v>1098</v>
      </c>
    </row>
    <row r="1097" customFormat="false" ht="15" hidden="false" customHeight="false" outlineLevel="0" collapsed="false">
      <c r="A1097" s="0" t="n">
        <f aca="false">DATEVALUE("13 septiembre 2024")</f>
        <v>45548</v>
      </c>
      <c r="B1097" s="0" t="s">
        <v>1099</v>
      </c>
    </row>
    <row r="1098" customFormat="false" ht="15" hidden="false" customHeight="false" outlineLevel="0" collapsed="false">
      <c r="A1098" s="0" t="e">
        <f aca="false">DATEVALUE("2024 septiembre 13")</f>
        <v>#VALUE!</v>
      </c>
      <c r="B1098" s="0" t="s">
        <v>1100</v>
      </c>
    </row>
    <row r="1099" customFormat="false" ht="15" hidden="false" customHeight="false" outlineLevel="0" collapsed="false">
      <c r="A1099" s="0" t="n">
        <f aca="false">DATEVALUE("septiembre 13")</f>
        <v>41518</v>
      </c>
      <c r="B1099" s="0" t="s">
        <v>1101</v>
      </c>
    </row>
    <row r="1100" customFormat="false" ht="15" hidden="false" customHeight="false" outlineLevel="0" collapsed="false">
      <c r="A1100" s="0" t="n">
        <f aca="false">DATEVALUE("13 septiembre")</f>
        <v>46278</v>
      </c>
      <c r="B1100" s="0" t="s">
        <v>1102</v>
      </c>
    </row>
    <row r="1101" customFormat="false" ht="15" hidden="false" customHeight="false" outlineLevel="0" collapsed="false">
      <c r="A1101" s="0" t="n">
        <f aca="false">DATEVALUE("septiembre 2024")</f>
        <v>45536</v>
      </c>
      <c r="B1101" s="0" t="s">
        <v>1103</v>
      </c>
    </row>
    <row r="1102" customFormat="false" ht="15" hidden="false" customHeight="false" outlineLevel="0" collapsed="false">
      <c r="A1102" s="0" t="e">
        <f aca="false">DATEVALUE("2024 septiembre")</f>
        <v>#VALUE!</v>
      </c>
      <c r="B1102" s="0" t="s">
        <v>1104</v>
      </c>
    </row>
    <row r="1103" customFormat="false" ht="15" hidden="false" customHeight="false" outlineLevel="0" collapsed="false">
      <c r="A1103" s="0" t="n">
        <f aca="false">DATEVALUE("septiembre 13 25")</f>
        <v>45913</v>
      </c>
      <c r="B1103" s="0" t="s">
        <v>1105</v>
      </c>
    </row>
    <row r="1104" customFormat="false" ht="15" hidden="false" customHeight="false" outlineLevel="0" collapsed="false">
      <c r="A1104" s="0" t="n">
        <f aca="false">DATEVALUE("13 septiembre 25")</f>
        <v>45913</v>
      </c>
      <c r="B1104" s="0" t="s">
        <v>1106</v>
      </c>
    </row>
    <row r="1105" customFormat="false" ht="15" hidden="false" customHeight="false" outlineLevel="0" collapsed="false">
      <c r="A1105" s="0" t="e">
        <f aca="false">DATEVALUE("septiembre-13-2024")</f>
        <v>#VALUE!</v>
      </c>
      <c r="B1105" s="0" t="s">
        <v>1107</v>
      </c>
    </row>
    <row r="1106" customFormat="false" ht="15" hidden="false" customHeight="false" outlineLevel="0" collapsed="false">
      <c r="A1106" s="0" t="n">
        <f aca="false">DATEVALUE("13-septiembre-2024")</f>
        <v>45548</v>
      </c>
      <c r="B1106" s="0" t="s">
        <v>1108</v>
      </c>
    </row>
    <row r="1107" customFormat="false" ht="15" hidden="false" customHeight="false" outlineLevel="0" collapsed="false">
      <c r="A1107" s="0" t="n">
        <f aca="false">DATEVALUE("2024-septiembre-13")</f>
        <v>45548</v>
      </c>
      <c r="B1107" s="0" t="s">
        <v>1109</v>
      </c>
    </row>
    <row r="1108" customFormat="false" ht="15" hidden="false" customHeight="false" outlineLevel="0" collapsed="false">
      <c r="A1108" s="0" t="n">
        <f aca="false">DATEVALUE("septiembre-13")</f>
        <v>41518</v>
      </c>
      <c r="B1108" s="0" t="s">
        <v>1110</v>
      </c>
    </row>
    <row r="1109" customFormat="false" ht="15" hidden="false" customHeight="false" outlineLevel="0" collapsed="false">
      <c r="A1109" s="0" t="e">
        <f aca="false">DATEVALUE("13-septiembre")</f>
        <v>#VALUE!</v>
      </c>
      <c r="B1109" s="0" t="s">
        <v>1111</v>
      </c>
    </row>
    <row r="1110" customFormat="false" ht="15" hidden="false" customHeight="false" outlineLevel="0" collapsed="false">
      <c r="A1110" s="0" t="n">
        <f aca="false">DATEVALUE("septiembre-2024")</f>
        <v>45536</v>
      </c>
      <c r="B1110" s="0" t="s">
        <v>1112</v>
      </c>
    </row>
    <row r="1111" customFormat="false" ht="15" hidden="false" customHeight="false" outlineLevel="0" collapsed="false">
      <c r="A1111" s="0" t="e">
        <f aca="false">DATEVALUE("2024-septiembre")</f>
        <v>#VALUE!</v>
      </c>
      <c r="B1111" s="0" t="s">
        <v>1113</v>
      </c>
    </row>
    <row r="1112" customFormat="false" ht="15" hidden="false" customHeight="false" outlineLevel="0" collapsed="false">
      <c r="A1112" s="0" t="e">
        <f aca="false">DATEVALUE("septiembre-13-25")</f>
        <v>#VALUE!</v>
      </c>
      <c r="B1112" s="0" t="s">
        <v>1114</v>
      </c>
    </row>
    <row r="1113" customFormat="false" ht="15" hidden="false" customHeight="false" outlineLevel="0" collapsed="false">
      <c r="A1113" s="0" t="n">
        <f aca="false">DATEVALUE("13-septiembre-25")</f>
        <v>45913</v>
      </c>
      <c r="B1113" s="0" t="s">
        <v>1115</v>
      </c>
    </row>
    <row r="1114" customFormat="false" ht="15" hidden="false" customHeight="false" outlineLevel="0" collapsed="false">
      <c r="A1114" s="0" t="n">
        <f aca="false">DATEVALUE("septiembre/13/2024")</f>
        <v>45548</v>
      </c>
      <c r="B1114" s="0" t="s">
        <v>1116</v>
      </c>
    </row>
    <row r="1115" customFormat="false" ht="15" hidden="false" customHeight="false" outlineLevel="0" collapsed="false">
      <c r="A1115" s="0" t="e">
        <f aca="false">DATEVALUE("13/septiembre/2024")</f>
        <v>#VALUE!</v>
      </c>
      <c r="B1115" s="0" t="s">
        <v>1117</v>
      </c>
    </row>
    <row r="1116" customFormat="false" ht="15" hidden="false" customHeight="false" outlineLevel="0" collapsed="false">
      <c r="A1116" s="0" t="e">
        <f aca="false">DATEVALUE("2024/septiembre/13")</f>
        <v>#VALUE!</v>
      </c>
      <c r="B1116" s="0" t="s">
        <v>1118</v>
      </c>
    </row>
    <row r="1117" customFormat="false" ht="15" hidden="false" customHeight="false" outlineLevel="0" collapsed="false">
      <c r="A1117" s="0" t="n">
        <f aca="false">DATEVALUE("septiembre/13")</f>
        <v>41518</v>
      </c>
      <c r="B1117" s="0" t="s">
        <v>1119</v>
      </c>
    </row>
    <row r="1118" customFormat="false" ht="15" hidden="false" customHeight="false" outlineLevel="0" collapsed="false">
      <c r="A1118" s="0" t="n">
        <f aca="false">DATEVALUE("13/septiembre")</f>
        <v>46278</v>
      </c>
      <c r="B1118" s="0" t="s">
        <v>1120</v>
      </c>
    </row>
    <row r="1119" customFormat="false" ht="15" hidden="false" customHeight="false" outlineLevel="0" collapsed="false">
      <c r="A1119" s="0" t="n">
        <f aca="false">DATEVALUE("septiembre/2024")</f>
        <v>45536</v>
      </c>
      <c r="B1119" s="0" t="s">
        <v>1121</v>
      </c>
    </row>
    <row r="1120" customFormat="false" ht="15" hidden="false" customHeight="false" outlineLevel="0" collapsed="false">
      <c r="A1120" s="0" t="e">
        <f aca="false">DATEVALUE("2024/septiembre")</f>
        <v>#VALUE!</v>
      </c>
      <c r="B1120" s="0" t="s">
        <v>1122</v>
      </c>
    </row>
    <row r="1121" customFormat="false" ht="15" hidden="false" customHeight="false" outlineLevel="0" collapsed="false">
      <c r="A1121" s="0" t="n">
        <f aca="false">DATEVALUE("septiembre/13/25")</f>
        <v>45913</v>
      </c>
      <c r="B1121" s="0" t="s">
        <v>1123</v>
      </c>
    </row>
    <row r="1122" customFormat="false" ht="15" hidden="false" customHeight="false" outlineLevel="0" collapsed="false">
      <c r="A1122" s="0" t="e">
        <f aca="false">DATEVALUE("13/septiembre/25")</f>
        <v>#VALUE!</v>
      </c>
      <c r="B1122" s="0" t="s">
        <v>1124</v>
      </c>
    </row>
    <row r="1123" customFormat="false" ht="15" hidden="false" customHeight="false" outlineLevel="0" collapsed="false">
      <c r="A1123" s="0" t="e">
        <f aca="false">DATEVALUE("13. septiembre 2024")</f>
        <v>#VALUE!</v>
      </c>
      <c r="B1123" s="0" t="s">
        <v>1125</v>
      </c>
    </row>
    <row r="1124" customFormat="false" ht="15" hidden="false" customHeight="false" outlineLevel="0" collapsed="false">
      <c r="A1124" s="0" t="e">
        <f aca="false">DATEVALUE("13. septiembre")</f>
        <v>#VALUE!</v>
      </c>
      <c r="B1124" s="0" t="s">
        <v>1126</v>
      </c>
    </row>
    <row r="1125" customFormat="false" ht="15" hidden="false" customHeight="false" outlineLevel="0" collapsed="false">
      <c r="A1125" s="0" t="e">
        <f aca="false">DATEVALUE("septiembre 13, 2024")</f>
        <v>#VALUE!</v>
      </c>
      <c r="B1125" s="0" t="s">
        <v>1127</v>
      </c>
    </row>
    <row r="1126" customFormat="false" ht="15" hidden="false" customHeight="false" outlineLevel="0" collapsed="false">
      <c r="A1126" s="0" t="e">
        <f aca="false">DATEVALUE("Monday septiembre 13 2024")</f>
        <v>#VALUE!</v>
      </c>
      <c r="B1126" s="0" t="s">
        <v>1128</v>
      </c>
    </row>
    <row r="1127" customFormat="false" ht="15" hidden="false" customHeight="false" outlineLevel="0" collapsed="false">
      <c r="A1127" s="0" t="n">
        <f aca="false">DATEVALUE("septiembre 13 2024 lunes")</f>
        <v>45548</v>
      </c>
      <c r="B1127" s="0" t="s">
        <v>1129</v>
      </c>
    </row>
    <row r="1128" customFormat="false" ht="15" hidden="false" customHeight="false" outlineLevel="0" collapsed="false">
      <c r="A1128" s="0" t="n">
        <f aca="false">DATEVALUE("sep 13 2024")</f>
        <v>45548</v>
      </c>
      <c r="B1128" s="0" t="s">
        <v>1130</v>
      </c>
    </row>
    <row r="1129" customFormat="false" ht="15" hidden="false" customHeight="false" outlineLevel="0" collapsed="false">
      <c r="A1129" s="0" t="n">
        <f aca="false">DATEVALUE("13 sep 2024")</f>
        <v>45548</v>
      </c>
      <c r="B1129" s="0" t="s">
        <v>1131</v>
      </c>
    </row>
    <row r="1130" customFormat="false" ht="15" hidden="false" customHeight="false" outlineLevel="0" collapsed="false">
      <c r="A1130" s="0" t="e">
        <f aca="false">DATEVALUE("2024 sep 13")</f>
        <v>#VALUE!</v>
      </c>
      <c r="B1130" s="0" t="s">
        <v>1132</v>
      </c>
    </row>
    <row r="1131" customFormat="false" ht="15" hidden="false" customHeight="false" outlineLevel="0" collapsed="false">
      <c r="A1131" s="0" t="n">
        <f aca="false">DATEVALUE("sep 13")</f>
        <v>41518</v>
      </c>
      <c r="B1131" s="0" t="s">
        <v>1133</v>
      </c>
    </row>
    <row r="1132" customFormat="false" ht="15" hidden="false" customHeight="false" outlineLevel="0" collapsed="false">
      <c r="A1132" s="0" t="n">
        <f aca="false">DATEVALUE("13 sep")</f>
        <v>46278</v>
      </c>
      <c r="B1132" s="0" t="s">
        <v>1134</v>
      </c>
    </row>
    <row r="1133" customFormat="false" ht="15" hidden="false" customHeight="false" outlineLevel="0" collapsed="false">
      <c r="A1133" s="0" t="n">
        <f aca="false">DATEVALUE("sep 2024")</f>
        <v>45536</v>
      </c>
      <c r="B1133" s="0" t="s">
        <v>1135</v>
      </c>
    </row>
    <row r="1134" customFormat="false" ht="15" hidden="false" customHeight="false" outlineLevel="0" collapsed="false">
      <c r="A1134" s="0" t="e">
        <f aca="false">DATEVALUE("2024 sep")</f>
        <v>#VALUE!</v>
      </c>
      <c r="B1134" s="0" t="s">
        <v>1136</v>
      </c>
    </row>
    <row r="1135" customFormat="false" ht="15" hidden="false" customHeight="false" outlineLevel="0" collapsed="false">
      <c r="A1135" s="0" t="n">
        <f aca="false">DATEVALUE("sep 13 25")</f>
        <v>45913</v>
      </c>
      <c r="B1135" s="0" t="s">
        <v>1137</v>
      </c>
    </row>
    <row r="1136" customFormat="false" ht="15" hidden="false" customHeight="false" outlineLevel="0" collapsed="false">
      <c r="A1136" s="0" t="n">
        <f aca="false">DATEVALUE("13 sep 25")</f>
        <v>45913</v>
      </c>
      <c r="B1136" s="0" t="s">
        <v>1138</v>
      </c>
    </row>
    <row r="1137" customFormat="false" ht="15" hidden="false" customHeight="false" outlineLevel="0" collapsed="false">
      <c r="A1137" s="0" t="e">
        <f aca="false">DATEVALUE("sep-13-2024")</f>
        <v>#VALUE!</v>
      </c>
      <c r="B1137" s="0" t="s">
        <v>1139</v>
      </c>
    </row>
    <row r="1138" customFormat="false" ht="15" hidden="false" customHeight="false" outlineLevel="0" collapsed="false">
      <c r="A1138" s="0" t="n">
        <f aca="false">DATEVALUE("13-sep-2024")</f>
        <v>45548</v>
      </c>
      <c r="B1138" s="0" t="s">
        <v>1140</v>
      </c>
    </row>
    <row r="1139" customFormat="false" ht="15" hidden="false" customHeight="false" outlineLevel="0" collapsed="false">
      <c r="A1139" s="0" t="n">
        <f aca="false">DATEVALUE("2024-sep-13")</f>
        <v>45548</v>
      </c>
      <c r="B1139" s="0" t="s">
        <v>1141</v>
      </c>
    </row>
    <row r="1140" customFormat="false" ht="15" hidden="false" customHeight="false" outlineLevel="0" collapsed="false">
      <c r="A1140" s="0" t="n">
        <f aca="false">DATEVALUE("sep-13")</f>
        <v>41518</v>
      </c>
      <c r="B1140" s="0" t="s">
        <v>1142</v>
      </c>
    </row>
    <row r="1141" customFormat="false" ht="15" hidden="false" customHeight="false" outlineLevel="0" collapsed="false">
      <c r="A1141" s="0" t="e">
        <f aca="false">DATEVALUE("13-sep")</f>
        <v>#VALUE!</v>
      </c>
      <c r="B1141" s="0" t="s">
        <v>1143</v>
      </c>
    </row>
    <row r="1142" customFormat="false" ht="15" hidden="false" customHeight="false" outlineLevel="0" collapsed="false">
      <c r="A1142" s="0" t="n">
        <f aca="false">DATEVALUE("sep-2024")</f>
        <v>45536</v>
      </c>
      <c r="B1142" s="0" t="s">
        <v>1144</v>
      </c>
    </row>
    <row r="1143" customFormat="false" ht="15" hidden="false" customHeight="false" outlineLevel="0" collapsed="false">
      <c r="A1143" s="0" t="e">
        <f aca="false">DATEVALUE("2024-sep")</f>
        <v>#VALUE!</v>
      </c>
      <c r="B1143" s="0" t="s">
        <v>1145</v>
      </c>
    </row>
    <row r="1144" customFormat="false" ht="15" hidden="false" customHeight="false" outlineLevel="0" collapsed="false">
      <c r="A1144" s="0" t="e">
        <f aca="false">DATEVALUE("sep-13-25")</f>
        <v>#VALUE!</v>
      </c>
      <c r="B1144" s="0" t="s">
        <v>1146</v>
      </c>
    </row>
    <row r="1145" customFormat="false" ht="15" hidden="false" customHeight="false" outlineLevel="0" collapsed="false">
      <c r="A1145" s="0" t="n">
        <f aca="false">DATEVALUE("13-sep-25")</f>
        <v>45913</v>
      </c>
      <c r="B1145" s="0" t="s">
        <v>1147</v>
      </c>
    </row>
    <row r="1146" customFormat="false" ht="15" hidden="false" customHeight="false" outlineLevel="0" collapsed="false">
      <c r="A1146" s="0" t="n">
        <f aca="false">DATEVALUE("sep/13/2024")</f>
        <v>45548</v>
      </c>
      <c r="B1146" s="0" t="s">
        <v>1148</v>
      </c>
    </row>
    <row r="1147" customFormat="false" ht="15" hidden="false" customHeight="false" outlineLevel="0" collapsed="false">
      <c r="A1147" s="0" t="e">
        <f aca="false">DATEVALUE("13/sep/2024")</f>
        <v>#VALUE!</v>
      </c>
      <c r="B1147" s="0" t="s">
        <v>1149</v>
      </c>
    </row>
    <row r="1148" customFormat="false" ht="15" hidden="false" customHeight="false" outlineLevel="0" collapsed="false">
      <c r="A1148" s="0" t="e">
        <f aca="false">DATEVALUE("2024/sep/13")</f>
        <v>#VALUE!</v>
      </c>
      <c r="B1148" s="0" t="s">
        <v>1150</v>
      </c>
    </row>
    <row r="1149" customFormat="false" ht="15" hidden="false" customHeight="false" outlineLevel="0" collapsed="false">
      <c r="A1149" s="0" t="n">
        <f aca="false">DATEVALUE("sep/13")</f>
        <v>41518</v>
      </c>
      <c r="B1149" s="0" t="s">
        <v>1151</v>
      </c>
    </row>
    <row r="1150" customFormat="false" ht="15" hidden="false" customHeight="false" outlineLevel="0" collapsed="false">
      <c r="A1150" s="0" t="n">
        <f aca="false">DATEVALUE("13/sep")</f>
        <v>46278</v>
      </c>
      <c r="B1150" s="0" t="s">
        <v>1152</v>
      </c>
    </row>
    <row r="1151" customFormat="false" ht="15" hidden="false" customHeight="false" outlineLevel="0" collapsed="false">
      <c r="A1151" s="0" t="n">
        <f aca="false">DATEVALUE("sep/2024")</f>
        <v>45536</v>
      </c>
      <c r="B1151" s="0" t="s">
        <v>1153</v>
      </c>
    </row>
    <row r="1152" customFormat="false" ht="15" hidden="false" customHeight="false" outlineLevel="0" collapsed="false">
      <c r="A1152" s="0" t="e">
        <f aca="false">DATEVALUE("2024/sep")</f>
        <v>#VALUE!</v>
      </c>
      <c r="B1152" s="0" t="s">
        <v>1154</v>
      </c>
    </row>
    <row r="1153" customFormat="false" ht="15" hidden="false" customHeight="false" outlineLevel="0" collapsed="false">
      <c r="A1153" s="0" t="n">
        <f aca="false">DATEVALUE("sep/13/25")</f>
        <v>45913</v>
      </c>
      <c r="B1153" s="0" t="s">
        <v>1155</v>
      </c>
    </row>
    <row r="1154" customFormat="false" ht="15" hidden="false" customHeight="false" outlineLevel="0" collapsed="false">
      <c r="A1154" s="0" t="e">
        <f aca="false">DATEVALUE("13/sep/25")</f>
        <v>#VALUE!</v>
      </c>
      <c r="B1154" s="0" t="s">
        <v>1156</v>
      </c>
    </row>
    <row r="1155" customFormat="false" ht="15" hidden="false" customHeight="false" outlineLevel="0" collapsed="false">
      <c r="A1155" s="0" t="e">
        <f aca="false">DATEVALUE("13. sep 2024")</f>
        <v>#VALUE!</v>
      </c>
      <c r="B1155" s="0" t="s">
        <v>1157</v>
      </c>
    </row>
    <row r="1156" customFormat="false" ht="15" hidden="false" customHeight="false" outlineLevel="0" collapsed="false">
      <c r="A1156" s="0" t="e">
        <f aca="false">DATEVALUE("13. sep")</f>
        <v>#VALUE!</v>
      </c>
      <c r="B1156" s="0" t="s">
        <v>1158</v>
      </c>
    </row>
    <row r="1157" customFormat="false" ht="15" hidden="false" customHeight="false" outlineLevel="0" collapsed="false">
      <c r="A1157" s="0" t="e">
        <f aca="false">DATEVALUE("sep 13, 2024")</f>
        <v>#VALUE!</v>
      </c>
      <c r="B1157" s="0" t="s">
        <v>1159</v>
      </c>
    </row>
    <row r="1158" customFormat="false" ht="15" hidden="false" customHeight="false" outlineLevel="0" collapsed="false">
      <c r="A1158" s="0" t="e">
        <f aca="false">DATEVALUE("Monday sep 13 2024")</f>
        <v>#VALUE!</v>
      </c>
      <c r="B1158" s="0" t="s">
        <v>1160</v>
      </c>
    </row>
    <row r="1159" customFormat="false" ht="15" hidden="false" customHeight="false" outlineLevel="0" collapsed="false">
      <c r="A1159" s="0" t="n">
        <f aca="false">DATEVALUE("sep 13 2024 lunes")</f>
        <v>45548</v>
      </c>
      <c r="B1159" s="0" t="s">
        <v>1161</v>
      </c>
    </row>
    <row r="1160" customFormat="false" ht="15" hidden="false" customHeight="false" outlineLevel="0" collapsed="false">
      <c r="A1160" s="0" t="n">
        <f aca="false">DATEVALUE("SEPTIEMBRE 13 2024")</f>
        <v>45548</v>
      </c>
      <c r="B1160" s="0" t="s">
        <v>1162</v>
      </c>
    </row>
    <row r="1161" customFormat="false" ht="15" hidden="false" customHeight="false" outlineLevel="0" collapsed="false">
      <c r="A1161" s="0" t="n">
        <f aca="false">DATEVALUE("13 SEPTIEMBRE 2024")</f>
        <v>45548</v>
      </c>
      <c r="B1161" s="0" t="s">
        <v>1163</v>
      </c>
    </row>
    <row r="1162" customFormat="false" ht="15" hidden="false" customHeight="false" outlineLevel="0" collapsed="false">
      <c r="A1162" s="0" t="e">
        <f aca="false">DATEVALUE("2024 SEPTIEMBRE 13")</f>
        <v>#VALUE!</v>
      </c>
      <c r="B1162" s="0" t="s">
        <v>1164</v>
      </c>
    </row>
    <row r="1163" customFormat="false" ht="15" hidden="false" customHeight="false" outlineLevel="0" collapsed="false">
      <c r="A1163" s="0" t="n">
        <f aca="false">DATEVALUE("SEPTIEMBRE 13")</f>
        <v>41518</v>
      </c>
      <c r="B1163" s="0" t="s">
        <v>1165</v>
      </c>
    </row>
    <row r="1164" customFormat="false" ht="15" hidden="false" customHeight="false" outlineLevel="0" collapsed="false">
      <c r="A1164" s="0" t="n">
        <f aca="false">DATEVALUE("13 SEPTIEMBRE")</f>
        <v>46278</v>
      </c>
      <c r="B1164" s="0" t="s">
        <v>1166</v>
      </c>
    </row>
    <row r="1165" customFormat="false" ht="15" hidden="false" customHeight="false" outlineLevel="0" collapsed="false">
      <c r="A1165" s="0" t="n">
        <f aca="false">DATEVALUE("SEPTIEMBRE 2024")</f>
        <v>45536</v>
      </c>
      <c r="B1165" s="0" t="s">
        <v>1167</v>
      </c>
    </row>
    <row r="1166" customFormat="false" ht="15" hidden="false" customHeight="false" outlineLevel="0" collapsed="false">
      <c r="A1166" s="0" t="e">
        <f aca="false">DATEVALUE("2024 SEPTIEMBRE")</f>
        <v>#VALUE!</v>
      </c>
      <c r="B1166" s="0" t="s">
        <v>1168</v>
      </c>
    </row>
    <row r="1167" customFormat="false" ht="15" hidden="false" customHeight="false" outlineLevel="0" collapsed="false">
      <c r="A1167" s="0" t="n">
        <f aca="false">DATEVALUE("SEPTIEMBRE 13 25")</f>
        <v>45913</v>
      </c>
      <c r="B1167" s="0" t="s">
        <v>1169</v>
      </c>
    </row>
    <row r="1168" customFormat="false" ht="15" hidden="false" customHeight="false" outlineLevel="0" collapsed="false">
      <c r="A1168" s="0" t="n">
        <f aca="false">DATEVALUE("13 SEPTIEMBRE 25")</f>
        <v>45913</v>
      </c>
      <c r="B1168" s="0" t="s">
        <v>1170</v>
      </c>
    </row>
    <row r="1169" customFormat="false" ht="15" hidden="false" customHeight="false" outlineLevel="0" collapsed="false">
      <c r="A1169" s="0" t="e">
        <f aca="false">DATEVALUE("SEPTIEMBRE-13-2024")</f>
        <v>#VALUE!</v>
      </c>
      <c r="B1169" s="0" t="s">
        <v>1171</v>
      </c>
    </row>
    <row r="1170" customFormat="false" ht="15" hidden="false" customHeight="false" outlineLevel="0" collapsed="false">
      <c r="A1170" s="0" t="n">
        <f aca="false">DATEVALUE("13-SEPTIEMBRE-2024")</f>
        <v>45548</v>
      </c>
      <c r="B1170" s="0" t="s">
        <v>1172</v>
      </c>
    </row>
    <row r="1171" customFormat="false" ht="15" hidden="false" customHeight="false" outlineLevel="0" collapsed="false">
      <c r="A1171" s="0" t="n">
        <f aca="false">DATEVALUE("2024-SEPTIEMBRE-13")</f>
        <v>45548</v>
      </c>
      <c r="B1171" s="0" t="s">
        <v>1173</v>
      </c>
    </row>
    <row r="1172" customFormat="false" ht="15" hidden="false" customHeight="false" outlineLevel="0" collapsed="false">
      <c r="A1172" s="0" t="n">
        <f aca="false">DATEVALUE("SEPTIEMBRE-13")</f>
        <v>41518</v>
      </c>
      <c r="B1172" s="0" t="s">
        <v>1174</v>
      </c>
    </row>
    <row r="1173" customFormat="false" ht="15" hidden="false" customHeight="false" outlineLevel="0" collapsed="false">
      <c r="A1173" s="0" t="e">
        <f aca="false">DATEVALUE("13-SEPTIEMBRE")</f>
        <v>#VALUE!</v>
      </c>
      <c r="B1173" s="0" t="s">
        <v>1175</v>
      </c>
    </row>
    <row r="1174" customFormat="false" ht="15" hidden="false" customHeight="false" outlineLevel="0" collapsed="false">
      <c r="A1174" s="0" t="n">
        <f aca="false">DATEVALUE("SEPTIEMBRE-2024")</f>
        <v>45536</v>
      </c>
      <c r="B1174" s="0" t="s">
        <v>1176</v>
      </c>
    </row>
    <row r="1175" customFormat="false" ht="15" hidden="false" customHeight="false" outlineLevel="0" collapsed="false">
      <c r="A1175" s="0" t="e">
        <f aca="false">DATEVALUE("2024-SEPTIEMBRE")</f>
        <v>#VALUE!</v>
      </c>
      <c r="B1175" s="0" t="s">
        <v>1177</v>
      </c>
    </row>
    <row r="1176" customFormat="false" ht="15" hidden="false" customHeight="false" outlineLevel="0" collapsed="false">
      <c r="A1176" s="0" t="e">
        <f aca="false">DATEVALUE("SEPTIEMBRE-13-25")</f>
        <v>#VALUE!</v>
      </c>
      <c r="B1176" s="0" t="s">
        <v>1178</v>
      </c>
    </row>
    <row r="1177" customFormat="false" ht="15" hidden="false" customHeight="false" outlineLevel="0" collapsed="false">
      <c r="A1177" s="0" t="n">
        <f aca="false">DATEVALUE("13-SEPTIEMBRE-25")</f>
        <v>45913</v>
      </c>
      <c r="B1177" s="0" t="s">
        <v>1179</v>
      </c>
    </row>
    <row r="1178" customFormat="false" ht="15" hidden="false" customHeight="false" outlineLevel="0" collapsed="false">
      <c r="A1178" s="0" t="n">
        <f aca="false">DATEVALUE("SEPTIEMBRE/13/2024")</f>
        <v>45548</v>
      </c>
      <c r="B1178" s="0" t="s">
        <v>1180</v>
      </c>
    </row>
    <row r="1179" customFormat="false" ht="15" hidden="false" customHeight="false" outlineLevel="0" collapsed="false">
      <c r="A1179" s="0" t="e">
        <f aca="false">DATEVALUE("13/SEPTIEMBRE/2024")</f>
        <v>#VALUE!</v>
      </c>
      <c r="B1179" s="0" t="s">
        <v>1181</v>
      </c>
    </row>
    <row r="1180" customFormat="false" ht="15" hidden="false" customHeight="false" outlineLevel="0" collapsed="false">
      <c r="A1180" s="0" t="e">
        <f aca="false">DATEVALUE("2024/SEPTIEMBRE/13")</f>
        <v>#VALUE!</v>
      </c>
      <c r="B1180" s="0" t="s">
        <v>1182</v>
      </c>
    </row>
    <row r="1181" customFormat="false" ht="15" hidden="false" customHeight="false" outlineLevel="0" collapsed="false">
      <c r="A1181" s="0" t="n">
        <f aca="false">DATEVALUE("SEPTIEMBRE/13")</f>
        <v>41518</v>
      </c>
      <c r="B1181" s="0" t="s">
        <v>1183</v>
      </c>
    </row>
    <row r="1182" customFormat="false" ht="15" hidden="false" customHeight="false" outlineLevel="0" collapsed="false">
      <c r="A1182" s="0" t="n">
        <f aca="false">DATEVALUE("13/SEPTIEMBRE")</f>
        <v>46278</v>
      </c>
      <c r="B1182" s="0" t="s">
        <v>1184</v>
      </c>
    </row>
    <row r="1183" customFormat="false" ht="15" hidden="false" customHeight="false" outlineLevel="0" collapsed="false">
      <c r="A1183" s="0" t="n">
        <f aca="false">DATEVALUE("SEPTIEMBRE/2024")</f>
        <v>45536</v>
      </c>
      <c r="B1183" s="0" t="s">
        <v>1185</v>
      </c>
    </row>
    <row r="1184" customFormat="false" ht="15" hidden="false" customHeight="false" outlineLevel="0" collapsed="false">
      <c r="A1184" s="0" t="e">
        <f aca="false">DATEVALUE("2024/SEPTIEMBRE")</f>
        <v>#VALUE!</v>
      </c>
      <c r="B1184" s="0" t="s">
        <v>1186</v>
      </c>
    </row>
    <row r="1185" customFormat="false" ht="15" hidden="false" customHeight="false" outlineLevel="0" collapsed="false">
      <c r="A1185" s="0" t="n">
        <f aca="false">DATEVALUE("SEPTIEMBRE/13/25")</f>
        <v>45913</v>
      </c>
      <c r="B1185" s="0" t="s">
        <v>1187</v>
      </c>
    </row>
    <row r="1186" customFormat="false" ht="15" hidden="false" customHeight="false" outlineLevel="0" collapsed="false">
      <c r="A1186" s="0" t="e">
        <f aca="false">DATEVALUE("13/SEPTIEMBRE/25")</f>
        <v>#VALUE!</v>
      </c>
      <c r="B1186" s="0" t="s">
        <v>1188</v>
      </c>
    </row>
    <row r="1187" customFormat="false" ht="15" hidden="false" customHeight="false" outlineLevel="0" collapsed="false">
      <c r="A1187" s="0" t="e">
        <f aca="false">DATEVALUE("13. SEPTIEMBRE 2024")</f>
        <v>#VALUE!</v>
      </c>
      <c r="B1187" s="0" t="s">
        <v>1189</v>
      </c>
    </row>
    <row r="1188" customFormat="false" ht="15" hidden="false" customHeight="false" outlineLevel="0" collapsed="false">
      <c r="A1188" s="0" t="e">
        <f aca="false">DATEVALUE("13. SEPTIEMBRE")</f>
        <v>#VALUE!</v>
      </c>
      <c r="B1188" s="0" t="s">
        <v>1190</v>
      </c>
    </row>
    <row r="1189" customFormat="false" ht="15" hidden="false" customHeight="false" outlineLevel="0" collapsed="false">
      <c r="A1189" s="0" t="e">
        <f aca="false">DATEVALUE("SEPTIEMBRE 13, 2024")</f>
        <v>#VALUE!</v>
      </c>
      <c r="B1189" s="0" t="s">
        <v>1191</v>
      </c>
    </row>
    <row r="1190" customFormat="false" ht="15" hidden="false" customHeight="false" outlineLevel="0" collapsed="false">
      <c r="A1190" s="0" t="e">
        <f aca="false">DATEVALUE("Monday SEPTIEMBRE 13 2024")</f>
        <v>#VALUE!</v>
      </c>
      <c r="B1190" s="0" t="s">
        <v>1192</v>
      </c>
    </row>
    <row r="1191" customFormat="false" ht="15" hidden="false" customHeight="false" outlineLevel="0" collapsed="false">
      <c r="A1191" s="0" t="n">
        <f aca="false">DATEVALUE("SEPTIEMBRE 13 2024 lunes")</f>
        <v>45548</v>
      </c>
      <c r="B1191" s="0" t="s">
        <v>1193</v>
      </c>
    </row>
    <row r="1192" customFormat="false" ht="15" hidden="false" customHeight="false" outlineLevel="0" collapsed="false">
      <c r="A1192" s="0" t="n">
        <f aca="false">DATEVALUE("sep. 13 2024")</f>
        <v>45548</v>
      </c>
      <c r="B1192" s="0" t="s">
        <v>1194</v>
      </c>
    </row>
    <row r="1193" customFormat="false" ht="15" hidden="false" customHeight="false" outlineLevel="0" collapsed="false">
      <c r="A1193" s="0" t="n">
        <f aca="false">DATEVALUE("13 sep. 2024")</f>
        <v>45548</v>
      </c>
      <c r="B1193" s="0" t="s">
        <v>1195</v>
      </c>
    </row>
    <row r="1194" customFormat="false" ht="15" hidden="false" customHeight="false" outlineLevel="0" collapsed="false">
      <c r="A1194" s="0" t="e">
        <f aca="false">DATEVALUE("2024 sep. 13")</f>
        <v>#VALUE!</v>
      </c>
      <c r="B1194" s="0" t="s">
        <v>1196</v>
      </c>
    </row>
    <row r="1195" customFormat="false" ht="15" hidden="false" customHeight="false" outlineLevel="0" collapsed="false">
      <c r="A1195" s="0" t="n">
        <f aca="false">DATEVALUE("sep. 13")</f>
        <v>41518</v>
      </c>
      <c r="B1195" s="0" t="s">
        <v>1197</v>
      </c>
    </row>
    <row r="1196" customFormat="false" ht="15" hidden="false" customHeight="false" outlineLevel="0" collapsed="false">
      <c r="A1196" s="0" t="n">
        <f aca="false">DATEVALUE("13 sep.")</f>
        <v>46278</v>
      </c>
      <c r="B1196" s="0" t="s">
        <v>1198</v>
      </c>
    </row>
    <row r="1197" customFormat="false" ht="15" hidden="false" customHeight="false" outlineLevel="0" collapsed="false">
      <c r="A1197" s="0" t="n">
        <f aca="false">DATEVALUE("sep. 2024")</f>
        <v>45536</v>
      </c>
      <c r="B1197" s="0" t="s">
        <v>1199</v>
      </c>
    </row>
    <row r="1198" customFormat="false" ht="15" hidden="false" customHeight="false" outlineLevel="0" collapsed="false">
      <c r="A1198" s="0" t="e">
        <f aca="false">DATEVALUE("2024 sep.")</f>
        <v>#VALUE!</v>
      </c>
      <c r="B1198" s="0" t="s">
        <v>1200</v>
      </c>
    </row>
    <row r="1199" customFormat="false" ht="15" hidden="false" customHeight="false" outlineLevel="0" collapsed="false">
      <c r="A1199" s="0" t="n">
        <f aca="false">DATEVALUE("sep. 13 25")</f>
        <v>45913</v>
      </c>
      <c r="B1199" s="0" t="s">
        <v>1201</v>
      </c>
    </row>
    <row r="1200" customFormat="false" ht="15" hidden="false" customHeight="false" outlineLevel="0" collapsed="false">
      <c r="A1200" s="0" t="n">
        <f aca="false">DATEVALUE("13 sep. 25")</f>
        <v>45913</v>
      </c>
      <c r="B1200" s="0" t="s">
        <v>1202</v>
      </c>
    </row>
    <row r="1201" customFormat="false" ht="15" hidden="false" customHeight="false" outlineLevel="0" collapsed="false">
      <c r="A1201" s="0" t="e">
        <f aca="false">DATEVALUE("sep.-13-2024")</f>
        <v>#VALUE!</v>
      </c>
      <c r="B1201" s="0" t="s">
        <v>1203</v>
      </c>
    </row>
    <row r="1202" customFormat="false" ht="15" hidden="false" customHeight="false" outlineLevel="0" collapsed="false">
      <c r="A1202" s="0" t="e">
        <f aca="false">DATEVALUE("13-sep.-2024")</f>
        <v>#VALUE!</v>
      </c>
      <c r="B1202" s="0" t="s">
        <v>1204</v>
      </c>
    </row>
    <row r="1203" customFormat="false" ht="15" hidden="false" customHeight="false" outlineLevel="0" collapsed="false">
      <c r="A1203" s="0" t="e">
        <f aca="false">DATEVALUE("2024-sep.-13")</f>
        <v>#VALUE!</v>
      </c>
      <c r="B1203" s="0" t="s">
        <v>1205</v>
      </c>
    </row>
    <row r="1204" customFormat="false" ht="15" hidden="false" customHeight="false" outlineLevel="0" collapsed="false">
      <c r="A1204" s="0" t="n">
        <f aca="false">DATEVALUE("sep.-13")</f>
        <v>41518</v>
      </c>
      <c r="B1204" s="0" t="s">
        <v>1206</v>
      </c>
    </row>
    <row r="1205" customFormat="false" ht="15" hidden="false" customHeight="false" outlineLevel="0" collapsed="false">
      <c r="A1205" s="0" t="e">
        <f aca="false">DATEVALUE("13-sep.")</f>
        <v>#VALUE!</v>
      </c>
      <c r="B1205" s="0" t="s">
        <v>1207</v>
      </c>
    </row>
    <row r="1206" customFormat="false" ht="15" hidden="false" customHeight="false" outlineLevel="0" collapsed="false">
      <c r="A1206" s="0" t="n">
        <f aca="false">DATEVALUE("sep.-2024")</f>
        <v>45536</v>
      </c>
      <c r="B1206" s="0" t="s">
        <v>1208</v>
      </c>
    </row>
    <row r="1207" customFormat="false" ht="15" hidden="false" customHeight="false" outlineLevel="0" collapsed="false">
      <c r="A1207" s="0" t="e">
        <f aca="false">DATEVALUE("2024-sep.")</f>
        <v>#VALUE!</v>
      </c>
      <c r="B1207" s="0" t="s">
        <v>1209</v>
      </c>
    </row>
    <row r="1208" customFormat="false" ht="15" hidden="false" customHeight="false" outlineLevel="0" collapsed="false">
      <c r="A1208" s="0" t="e">
        <f aca="false">DATEVALUE("sep.-13-25")</f>
        <v>#VALUE!</v>
      </c>
      <c r="B1208" s="0" t="s">
        <v>1210</v>
      </c>
    </row>
    <row r="1209" customFormat="false" ht="15" hidden="false" customHeight="false" outlineLevel="0" collapsed="false">
      <c r="A1209" s="0" t="e">
        <f aca="false">DATEVALUE("13-sep.-25")</f>
        <v>#VALUE!</v>
      </c>
      <c r="B1209" s="0" t="s">
        <v>1211</v>
      </c>
    </row>
    <row r="1210" customFormat="false" ht="15" hidden="false" customHeight="false" outlineLevel="0" collapsed="false">
      <c r="A1210" s="0" t="n">
        <f aca="false">DATEVALUE("sep./13/2024")</f>
        <v>45548</v>
      </c>
      <c r="B1210" s="0" t="s">
        <v>1212</v>
      </c>
    </row>
    <row r="1211" customFormat="false" ht="15" hidden="false" customHeight="false" outlineLevel="0" collapsed="false">
      <c r="A1211" s="0" t="e">
        <f aca="false">DATEVALUE("13/sep./2024")</f>
        <v>#VALUE!</v>
      </c>
      <c r="B1211" s="0" t="s">
        <v>1213</v>
      </c>
    </row>
    <row r="1212" customFormat="false" ht="15" hidden="false" customHeight="false" outlineLevel="0" collapsed="false">
      <c r="A1212" s="0" t="e">
        <f aca="false">DATEVALUE("2024/sep./13")</f>
        <v>#VALUE!</v>
      </c>
      <c r="B1212" s="0" t="s">
        <v>1214</v>
      </c>
    </row>
    <row r="1213" customFormat="false" ht="15" hidden="false" customHeight="false" outlineLevel="0" collapsed="false">
      <c r="A1213" s="0" t="n">
        <f aca="false">DATEVALUE("sep./13")</f>
        <v>41518</v>
      </c>
      <c r="B1213" s="0" t="s">
        <v>1215</v>
      </c>
    </row>
    <row r="1214" customFormat="false" ht="15" hidden="false" customHeight="false" outlineLevel="0" collapsed="false">
      <c r="A1214" s="0" t="n">
        <f aca="false">DATEVALUE("13/sep.")</f>
        <v>46278</v>
      </c>
      <c r="B1214" s="0" t="s">
        <v>1216</v>
      </c>
    </row>
    <row r="1215" customFormat="false" ht="15" hidden="false" customHeight="false" outlineLevel="0" collapsed="false">
      <c r="A1215" s="0" t="n">
        <f aca="false">DATEVALUE("sep./2024")</f>
        <v>45536</v>
      </c>
      <c r="B1215" s="0" t="s">
        <v>1217</v>
      </c>
    </row>
    <row r="1216" customFormat="false" ht="15" hidden="false" customHeight="false" outlineLevel="0" collapsed="false">
      <c r="A1216" s="0" t="e">
        <f aca="false">DATEVALUE("2024/sep.")</f>
        <v>#VALUE!</v>
      </c>
      <c r="B1216" s="0" t="s">
        <v>1218</v>
      </c>
    </row>
    <row r="1217" customFormat="false" ht="15" hidden="false" customHeight="false" outlineLevel="0" collapsed="false">
      <c r="A1217" s="0" t="n">
        <f aca="false">DATEVALUE("sep./13/25")</f>
        <v>45913</v>
      </c>
      <c r="B1217" s="0" t="s">
        <v>1219</v>
      </c>
    </row>
    <row r="1218" customFormat="false" ht="15" hidden="false" customHeight="false" outlineLevel="0" collapsed="false">
      <c r="A1218" s="0" t="e">
        <f aca="false">DATEVALUE("13/sep./25")</f>
        <v>#VALUE!</v>
      </c>
      <c r="B1218" s="0" t="s">
        <v>1220</v>
      </c>
    </row>
    <row r="1219" customFormat="false" ht="15" hidden="false" customHeight="false" outlineLevel="0" collapsed="false">
      <c r="A1219" s="0" t="e">
        <f aca="false">DATEVALUE("13. sep. 2024")</f>
        <v>#VALUE!</v>
      </c>
      <c r="B1219" s="0" t="s">
        <v>1221</v>
      </c>
    </row>
    <row r="1220" customFormat="false" ht="15" hidden="false" customHeight="false" outlineLevel="0" collapsed="false">
      <c r="A1220" s="0" t="e">
        <f aca="false">DATEVALUE("13. sep.")</f>
        <v>#VALUE!</v>
      </c>
      <c r="B1220" s="0" t="s">
        <v>1222</v>
      </c>
    </row>
    <row r="1221" customFormat="false" ht="15" hidden="false" customHeight="false" outlineLevel="0" collapsed="false">
      <c r="A1221" s="0" t="e">
        <f aca="false">DATEVALUE("sep. 13, 2024")</f>
        <v>#VALUE!</v>
      </c>
      <c r="B1221" s="0" t="s">
        <v>1223</v>
      </c>
    </row>
    <row r="1222" customFormat="false" ht="15" hidden="false" customHeight="false" outlineLevel="0" collapsed="false">
      <c r="A1222" s="0" t="e">
        <f aca="false">DATEVALUE("Monday sep. 13 2024")</f>
        <v>#VALUE!</v>
      </c>
      <c r="B1222" s="0" t="s">
        <v>1224</v>
      </c>
    </row>
    <row r="1223" customFormat="false" ht="15" hidden="false" customHeight="false" outlineLevel="0" collapsed="false">
      <c r="A1223" s="0" t="n">
        <f aca="false">DATEVALUE("sep. 13 2024 lunes")</f>
        <v>45548</v>
      </c>
      <c r="B1223" s="0" t="s">
        <v>1225</v>
      </c>
    </row>
    <row r="1224" customFormat="false" ht="15" hidden="false" customHeight="false" outlineLevel="0" collapsed="false">
      <c r="A1224" s="0" t="n">
        <f aca="false">DATEVALUE("Sept 13 2024")</f>
        <v>45548</v>
      </c>
      <c r="B1224" s="0" t="s">
        <v>1066</v>
      </c>
    </row>
    <row r="1225" customFormat="false" ht="15" hidden="false" customHeight="false" outlineLevel="0" collapsed="false">
      <c r="A1225" s="0" t="n">
        <f aca="false">DATEVALUE("13 Sept 2024")</f>
        <v>45548</v>
      </c>
      <c r="B1225" s="0" t="s">
        <v>1067</v>
      </c>
    </row>
    <row r="1226" customFormat="false" ht="15" hidden="false" customHeight="false" outlineLevel="0" collapsed="false">
      <c r="A1226" s="0" t="e">
        <f aca="false">DATEVALUE("2024 Sept 13")</f>
        <v>#VALUE!</v>
      </c>
      <c r="B1226" s="0" t="s">
        <v>1068</v>
      </c>
    </row>
    <row r="1227" customFormat="false" ht="15" hidden="false" customHeight="false" outlineLevel="0" collapsed="false">
      <c r="A1227" s="0" t="n">
        <f aca="false">DATEVALUE("Sept 13")</f>
        <v>41518</v>
      </c>
      <c r="B1227" s="0" t="s">
        <v>1069</v>
      </c>
    </row>
    <row r="1228" customFormat="false" ht="15" hidden="false" customHeight="false" outlineLevel="0" collapsed="false">
      <c r="A1228" s="0" t="n">
        <f aca="false">DATEVALUE("13 Sept")</f>
        <v>46278</v>
      </c>
      <c r="B1228" s="0" t="s">
        <v>1070</v>
      </c>
    </row>
    <row r="1229" customFormat="false" ht="15" hidden="false" customHeight="false" outlineLevel="0" collapsed="false">
      <c r="A1229" s="0" t="n">
        <f aca="false">DATEVALUE("Sept 2024")</f>
        <v>45536</v>
      </c>
      <c r="B1229" s="0" t="s">
        <v>1071</v>
      </c>
    </row>
    <row r="1230" customFormat="false" ht="15" hidden="false" customHeight="false" outlineLevel="0" collapsed="false">
      <c r="A1230" s="0" t="e">
        <f aca="false">DATEVALUE("2024 Sept")</f>
        <v>#VALUE!</v>
      </c>
      <c r="B1230" s="0" t="s">
        <v>1072</v>
      </c>
    </row>
    <row r="1231" customFormat="false" ht="15" hidden="false" customHeight="false" outlineLevel="0" collapsed="false">
      <c r="A1231" s="0" t="n">
        <f aca="false">DATEVALUE("Sept 13 25")</f>
        <v>45913</v>
      </c>
      <c r="B1231" s="0" t="s">
        <v>1073</v>
      </c>
    </row>
    <row r="1232" customFormat="false" ht="15" hidden="false" customHeight="false" outlineLevel="0" collapsed="false">
      <c r="A1232" s="0" t="n">
        <f aca="false">DATEVALUE("13 Sept 25")</f>
        <v>45913</v>
      </c>
      <c r="B1232" s="0" t="s">
        <v>1074</v>
      </c>
    </row>
    <row r="1233" customFormat="false" ht="15" hidden="false" customHeight="false" outlineLevel="0" collapsed="false">
      <c r="A1233" s="0" t="e">
        <f aca="false">DATEVALUE("Sept-13-2024")</f>
        <v>#VALUE!</v>
      </c>
      <c r="B1233" s="0" t="s">
        <v>1075</v>
      </c>
    </row>
    <row r="1234" customFormat="false" ht="15" hidden="false" customHeight="false" outlineLevel="0" collapsed="false">
      <c r="A1234" s="0" t="n">
        <f aca="false">DATEVALUE("13-Sept-2024")</f>
        <v>45548</v>
      </c>
      <c r="B1234" s="0" t="s">
        <v>1076</v>
      </c>
    </row>
    <row r="1235" customFormat="false" ht="15" hidden="false" customHeight="false" outlineLevel="0" collapsed="false">
      <c r="A1235" s="0" t="n">
        <f aca="false">DATEVALUE("2024-Sept-13")</f>
        <v>45548</v>
      </c>
      <c r="B1235" s="0" t="s">
        <v>1077</v>
      </c>
    </row>
    <row r="1236" customFormat="false" ht="15" hidden="false" customHeight="false" outlineLevel="0" collapsed="false">
      <c r="A1236" s="0" t="n">
        <f aca="false">DATEVALUE("Sept-13")</f>
        <v>41518</v>
      </c>
      <c r="B1236" s="0" t="s">
        <v>1078</v>
      </c>
    </row>
    <row r="1237" customFormat="false" ht="15" hidden="false" customHeight="false" outlineLevel="0" collapsed="false">
      <c r="A1237" s="0" t="e">
        <f aca="false">DATEVALUE("13-Sept")</f>
        <v>#VALUE!</v>
      </c>
      <c r="B1237" s="0" t="s">
        <v>1079</v>
      </c>
    </row>
    <row r="1238" customFormat="false" ht="15" hidden="false" customHeight="false" outlineLevel="0" collapsed="false">
      <c r="A1238" s="0" t="n">
        <f aca="false">DATEVALUE("Sept-2024")</f>
        <v>45536</v>
      </c>
      <c r="B1238" s="0" t="s">
        <v>1080</v>
      </c>
    </row>
    <row r="1239" customFormat="false" ht="15" hidden="false" customHeight="false" outlineLevel="0" collapsed="false">
      <c r="A1239" s="0" t="e">
        <f aca="false">DATEVALUE("2024-Sept")</f>
        <v>#VALUE!</v>
      </c>
      <c r="B1239" s="0" t="s">
        <v>1081</v>
      </c>
    </row>
    <row r="1240" customFormat="false" ht="15" hidden="false" customHeight="false" outlineLevel="0" collapsed="false">
      <c r="A1240" s="0" t="e">
        <f aca="false">DATEVALUE("Sept-13-25")</f>
        <v>#VALUE!</v>
      </c>
      <c r="B1240" s="0" t="s">
        <v>1082</v>
      </c>
    </row>
    <row r="1241" customFormat="false" ht="15" hidden="false" customHeight="false" outlineLevel="0" collapsed="false">
      <c r="A1241" s="0" t="n">
        <f aca="false">DATEVALUE("13-Sept-25")</f>
        <v>45913</v>
      </c>
      <c r="B1241" s="0" t="s">
        <v>1083</v>
      </c>
    </row>
    <row r="1242" customFormat="false" ht="15" hidden="false" customHeight="false" outlineLevel="0" collapsed="false">
      <c r="A1242" s="0" t="n">
        <f aca="false">DATEVALUE("Sept/13/2024")</f>
        <v>45548</v>
      </c>
      <c r="B1242" s="0" t="s">
        <v>1084</v>
      </c>
    </row>
    <row r="1243" customFormat="false" ht="15" hidden="false" customHeight="false" outlineLevel="0" collapsed="false">
      <c r="A1243" s="0" t="e">
        <f aca="false">DATEVALUE("13/Sept/2024")</f>
        <v>#VALUE!</v>
      </c>
      <c r="B1243" s="0" t="s">
        <v>1085</v>
      </c>
    </row>
    <row r="1244" customFormat="false" ht="15" hidden="false" customHeight="false" outlineLevel="0" collapsed="false">
      <c r="A1244" s="0" t="e">
        <f aca="false">DATEVALUE("2024/Sept/13")</f>
        <v>#VALUE!</v>
      </c>
      <c r="B1244" s="0" t="s">
        <v>1086</v>
      </c>
    </row>
    <row r="1245" customFormat="false" ht="15" hidden="false" customHeight="false" outlineLevel="0" collapsed="false">
      <c r="A1245" s="0" t="n">
        <f aca="false">DATEVALUE("Sept/13")</f>
        <v>41518</v>
      </c>
      <c r="B1245" s="0" t="s">
        <v>1087</v>
      </c>
    </row>
    <row r="1246" customFormat="false" ht="15" hidden="false" customHeight="false" outlineLevel="0" collapsed="false">
      <c r="A1246" s="0" t="n">
        <f aca="false">DATEVALUE("13/Sept")</f>
        <v>46278</v>
      </c>
      <c r="B1246" s="0" t="s">
        <v>1088</v>
      </c>
    </row>
    <row r="1247" customFormat="false" ht="15" hidden="false" customHeight="false" outlineLevel="0" collapsed="false">
      <c r="A1247" s="0" t="n">
        <f aca="false">DATEVALUE("Sept/2024")</f>
        <v>45536</v>
      </c>
      <c r="B1247" s="0" t="s">
        <v>1089</v>
      </c>
    </row>
    <row r="1248" customFormat="false" ht="15" hidden="false" customHeight="false" outlineLevel="0" collapsed="false">
      <c r="A1248" s="0" t="e">
        <f aca="false">DATEVALUE("2024/Sept")</f>
        <v>#VALUE!</v>
      </c>
      <c r="B1248" s="0" t="s">
        <v>1090</v>
      </c>
    </row>
    <row r="1249" customFormat="false" ht="15" hidden="false" customHeight="false" outlineLevel="0" collapsed="false">
      <c r="A1249" s="0" t="n">
        <f aca="false">DATEVALUE("Sept/13/25")</f>
        <v>45913</v>
      </c>
      <c r="B1249" s="0" t="s">
        <v>1091</v>
      </c>
    </row>
    <row r="1250" customFormat="false" ht="15" hidden="false" customHeight="false" outlineLevel="0" collapsed="false">
      <c r="A1250" s="0" t="e">
        <f aca="false">DATEVALUE("13/Sept/25")</f>
        <v>#VALUE!</v>
      </c>
      <c r="B1250" s="0" t="s">
        <v>1092</v>
      </c>
    </row>
    <row r="1251" customFormat="false" ht="15" hidden="false" customHeight="false" outlineLevel="0" collapsed="false">
      <c r="A1251" s="0" t="e">
        <f aca="false">DATEVALUE("13. Sept 2024")</f>
        <v>#VALUE!</v>
      </c>
      <c r="B1251" s="0" t="s">
        <v>1093</v>
      </c>
    </row>
    <row r="1252" customFormat="false" ht="15" hidden="false" customHeight="false" outlineLevel="0" collapsed="false">
      <c r="A1252" s="0" t="e">
        <f aca="false">DATEVALUE("13. Sept")</f>
        <v>#VALUE!</v>
      </c>
      <c r="B1252" s="0" t="s">
        <v>1094</v>
      </c>
    </row>
    <row r="1253" customFormat="false" ht="15" hidden="false" customHeight="false" outlineLevel="0" collapsed="false">
      <c r="A1253" s="0" t="e">
        <f aca="false">DATEVALUE("Sept 13, 2024")</f>
        <v>#VALUE!</v>
      </c>
      <c r="B1253" s="0" t="s">
        <v>1095</v>
      </c>
    </row>
    <row r="1254" customFormat="false" ht="15" hidden="false" customHeight="false" outlineLevel="0" collapsed="false">
      <c r="A1254" s="0" t="e">
        <f aca="false">DATEVALUE("Monday Sept 13 2024")</f>
        <v>#VALUE!</v>
      </c>
      <c r="B1254" s="0" t="s">
        <v>1096</v>
      </c>
    </row>
    <row r="1255" customFormat="false" ht="15" hidden="false" customHeight="false" outlineLevel="0" collapsed="false">
      <c r="A1255" s="0" t="n">
        <f aca="false">DATEVALUE("Sept 13 2024 lunes")</f>
        <v>45548</v>
      </c>
      <c r="B1255" s="0" t="s">
        <v>1097</v>
      </c>
    </row>
    <row r="1256" customFormat="false" ht="15" hidden="false" customHeight="false" outlineLevel="0" collapsed="false">
      <c r="A1256" s="0" t="n">
        <f aca="false">DATEVALUE("13 marzo 2024")</f>
        <v>45364</v>
      </c>
      <c r="B1256" s="0" t="s">
        <v>941</v>
      </c>
    </row>
    <row r="1257" customFormat="false" ht="15" hidden="false" customHeight="false" outlineLevel="0" collapsed="false">
      <c r="A1257" s="0" t="n">
        <f aca="false">VALUE("1,5")</f>
        <v>1.5</v>
      </c>
      <c r="B1257" s="0" t="s">
        <v>843</v>
      </c>
    </row>
    <row r="1258" customFormat="false" ht="15" hidden="false" customHeight="false" outlineLevel="0" collapsed="false">
      <c r="A1258" s="0" t="e">
        <f aca="false">VALUE("1.5")</f>
        <v>#VALUE!</v>
      </c>
      <c r="B1258" s="0" t="s">
        <v>844</v>
      </c>
    </row>
    <row r="1259" customFormat="false" ht="15" hidden="false" customHeight="false" outlineLevel="0" collapsed="false">
      <c r="A1259" s="0" t="n">
        <f aca="false">VALUE("1.234,5")</f>
        <v>1234.5</v>
      </c>
      <c r="B1259" s="0" t="s">
        <v>845</v>
      </c>
    </row>
    <row r="1260" customFormat="false" ht="15" hidden="false" customHeight="false" outlineLevel="0" collapsed="false">
      <c r="A1260" s="0" t="e">
        <f aca="false">VALUE("1,234.5")</f>
        <v>#VALUE!</v>
      </c>
      <c r="B1260" s="0" t="s">
        <v>1226</v>
      </c>
    </row>
    <row r="1261" customFormat="false" ht="15" hidden="false" customHeight="false" outlineLevel="0" collapsed="false">
      <c r="A1261" s="0" t="e">
        <f aca="false">VALUE("1 234,5")</f>
        <v>#VALUE!</v>
      </c>
      <c r="B1261" s="0" t="s">
        <v>1227</v>
      </c>
    </row>
    <row r="1262" customFormat="false" ht="15" hidden="false" customHeight="false" outlineLevel="0" collapsed="false">
      <c r="A1262" s="0" t="e">
        <f aca="false">VALUE("1'234.5")</f>
        <v>#VALUE!</v>
      </c>
      <c r="B1262" s="0" t="s">
        <v>1228</v>
      </c>
    </row>
    <row r="1263" customFormat="false" ht="15" hidden="false" customHeight="false" outlineLevel="0" collapsed="false">
      <c r="A1263" s="0" t="n">
        <f aca="false">VALUE("12%")</f>
        <v>0.12</v>
      </c>
      <c r="B1263" s="0" t="s">
        <v>1229</v>
      </c>
    </row>
    <row r="1264" customFormat="false" ht="15" hidden="false" customHeight="false" outlineLevel="0" collapsed="false">
      <c r="A1264" s="0" t="n">
        <f aca="false">VALUE("13:30")</f>
        <v>0.5625</v>
      </c>
      <c r="B1264" s="0" t="s">
        <v>1230</v>
      </c>
    </row>
    <row r="1265" customFormat="false" ht="15" hidden="false" customHeight="false" outlineLevel="0" collapsed="false">
      <c r="A1265" s="0" t="e">
        <f aca="false">VALUE("1:30 PM")</f>
        <v>#VALUE!</v>
      </c>
      <c r="B1265" s="0" t="s">
        <v>1231</v>
      </c>
    </row>
    <row r="1266" customFormat="false" ht="15" hidden="false" customHeight="false" outlineLevel="0" collapsed="false">
      <c r="A1266" s="0" t="n">
        <f aca="false">VALUE("1,234")</f>
        <v>1.234</v>
      </c>
      <c r="B1266" s="0" t="s">
        <v>1232</v>
      </c>
    </row>
    <row r="1267" customFormat="false" ht="15" hidden="false" customHeight="false" outlineLevel="0" collapsed="false">
      <c r="A1267" s="0" t="n">
        <f aca="false">VALUE("1.234")</f>
        <v>1234</v>
      </c>
      <c r="B1267" s="0" t="s">
        <v>1233</v>
      </c>
    </row>
    <row r="1268" customFormat="false" ht="15" hidden="false" customHeight="false" outlineLevel="0" collapsed="false">
      <c r="A1268" s="0" t="str">
        <f aca="false">TEXT(1234.5678,"0")</f>
        <v>1235</v>
      </c>
      <c r="B1268" s="0" t="s">
        <v>8</v>
      </c>
    </row>
    <row r="1269" customFormat="false" ht="15" hidden="false" customHeight="false" outlineLevel="0" collapsed="false">
      <c r="A1269" s="0" t="str">
        <f aca="false">TEXT(-1234.5678,"0")</f>
        <v>-1235</v>
      </c>
      <c r="B1269" s="0" t="s">
        <v>9</v>
      </c>
    </row>
    <row r="1270" customFormat="false" ht="15" hidden="false" customHeight="false" outlineLevel="0" collapsed="false">
      <c r="A1270" s="0" t="str">
        <f aca="false">TEXT(0.5,"0")</f>
        <v>1</v>
      </c>
      <c r="B1270" s="0" t="s">
        <v>11</v>
      </c>
    </row>
    <row r="1271" customFormat="false" ht="15" hidden="false" customHeight="false" outlineLevel="0" collapsed="false">
      <c r="A1271" s="0" t="str">
        <f aca="false">TEXT(1234.5678,"0.00")</f>
        <v>1234,57</v>
      </c>
      <c r="B1271" s="0" t="s">
        <v>15</v>
      </c>
    </row>
    <row r="1272" customFormat="false" ht="15" hidden="false" customHeight="false" outlineLevel="0" collapsed="false">
      <c r="A1272" s="0" t="str">
        <f aca="false">TEXT(-1234.5678,"0.00")</f>
        <v>-1234,57</v>
      </c>
      <c r="B1272" s="0" t="s">
        <v>16</v>
      </c>
    </row>
    <row r="1273" customFormat="false" ht="15" hidden="false" customHeight="false" outlineLevel="0" collapsed="false">
      <c r="A1273" s="0" t="str">
        <f aca="false">TEXT(0.5,"0.00")</f>
        <v>0,50</v>
      </c>
      <c r="B1273" s="0" t="s">
        <v>18</v>
      </c>
    </row>
    <row r="1274" customFormat="false" ht="15" hidden="false" customHeight="false" outlineLevel="0" collapsed="false">
      <c r="A1274" s="0" t="str">
        <f aca="false">TEXT(1234.5678,"#,##0")</f>
        <v>1.235</v>
      </c>
      <c r="B1274" s="0" t="s">
        <v>22</v>
      </c>
    </row>
    <row r="1275" customFormat="false" ht="15" hidden="false" customHeight="false" outlineLevel="0" collapsed="false">
      <c r="A1275" s="0" t="str">
        <f aca="false">TEXT(-1234.5678,"#,##0")</f>
        <v>-1.235</v>
      </c>
      <c r="B1275" s="0" t="s">
        <v>23</v>
      </c>
    </row>
    <row r="1276" customFormat="false" ht="15" hidden="false" customHeight="false" outlineLevel="0" collapsed="false">
      <c r="A1276" s="0" t="str">
        <f aca="false">TEXT(0.5,"#,##0")</f>
        <v>1</v>
      </c>
      <c r="B1276" s="0" t="s">
        <v>25</v>
      </c>
    </row>
    <row r="1277" customFormat="false" ht="15" hidden="false" customHeight="false" outlineLevel="0" collapsed="false">
      <c r="A1277" s="0" t="str">
        <f aca="false">TEXT(1234.5678,"#,##0.00")</f>
        <v>1.234,57</v>
      </c>
      <c r="B1277" s="0" t="s">
        <v>29</v>
      </c>
    </row>
    <row r="1278" customFormat="false" ht="15" hidden="false" customHeight="false" outlineLevel="0" collapsed="false">
      <c r="A1278" s="0" t="str">
        <f aca="false">TEXT(-1234.5678,"#,##0.00")</f>
        <v>-1.234,57</v>
      </c>
      <c r="B1278" s="0" t="s">
        <v>30</v>
      </c>
    </row>
    <row r="1279" customFormat="false" ht="15" hidden="false" customHeight="false" outlineLevel="0" collapsed="false">
      <c r="A1279" s="0" t="str">
        <f aca="false">TEXT(0.5,"#,##0.00")</f>
        <v>0,50</v>
      </c>
      <c r="B1279" s="0" t="s">
        <v>32</v>
      </c>
    </row>
    <row r="1280" customFormat="false" ht="15" hidden="false" customHeight="false" outlineLevel="0" collapsed="false">
      <c r="A1280" s="0" t="str">
        <f aca="false">TEXT(1234.5678,"0.0%")</f>
        <v>123.457%</v>
      </c>
      <c r="B1280" s="0" t="s">
        <v>43</v>
      </c>
    </row>
    <row r="1281" customFormat="false" ht="15" hidden="false" customHeight="false" outlineLevel="0" collapsed="false">
      <c r="A1281" s="0" t="str">
        <f aca="false">TEXT(-1234.5678,"0.0%")</f>
        <v>-123.457%</v>
      </c>
      <c r="B1281" s="0" t="s">
        <v>44</v>
      </c>
    </row>
    <row r="1282" customFormat="false" ht="15" hidden="false" customHeight="false" outlineLevel="0" collapsed="false">
      <c r="A1282" s="0" t="str">
        <f aca="false">TEXT(0.5,"0.0%")</f>
        <v>50%</v>
      </c>
      <c r="B1282" s="0" t="s">
        <v>46</v>
      </c>
    </row>
    <row r="1283" customFormat="false" ht="15" hidden="false" customHeight="false" outlineLevel="0" collapsed="false">
      <c r="A1283" s="0" t="str">
        <f aca="false">TEXT(1234.5678,"0.00E+00")</f>
        <v>1,23E+03</v>
      </c>
      <c r="B1283" s="0" t="s">
        <v>50</v>
      </c>
    </row>
    <row r="1284" customFormat="false" ht="15" hidden="false" customHeight="false" outlineLevel="0" collapsed="false">
      <c r="A1284" s="0" t="str">
        <f aca="false">TEXT(-1234.5678,"0.00E+00")</f>
        <v>-1,23E+03</v>
      </c>
      <c r="B1284" s="0" t="s">
        <v>51</v>
      </c>
    </row>
    <row r="1285" customFormat="false" ht="15" hidden="false" customHeight="false" outlineLevel="0" collapsed="false">
      <c r="A1285" s="0" t="str">
        <f aca="false">TEXT(0.5,"0.00E+00")</f>
        <v>5,00E-01</v>
      </c>
      <c r="B1285" s="0" t="s">
        <v>53</v>
      </c>
    </row>
    <row r="1286" customFormat="false" ht="15" hidden="false" customHeight="false" outlineLevel="0" collapsed="false">
      <c r="A1286" s="0" t="str">
        <f aca="false">TEXT(1234.5678,"General")</f>
        <v>1234,5678</v>
      </c>
      <c r="B1286" s="0" t="s">
        <v>71</v>
      </c>
    </row>
    <row r="1287" customFormat="false" ht="15" hidden="false" customHeight="false" outlineLevel="0" collapsed="false">
      <c r="A1287" s="0" t="str">
        <f aca="false">TEXT(-1234.5678,"General")</f>
        <v>-1234,5678</v>
      </c>
      <c r="B1287" s="0" t="s">
        <v>72</v>
      </c>
    </row>
    <row r="1288" customFormat="false" ht="15" hidden="false" customHeight="false" outlineLevel="0" collapsed="false">
      <c r="A1288" s="0" t="str">
        <f aca="false">TEXT(0.5,"General")</f>
        <v>0,5</v>
      </c>
      <c r="B1288" s="0" t="s">
        <v>74</v>
      </c>
    </row>
    <row r="1289" customFormat="false" ht="15" hidden="false" customHeight="false" outlineLevel="0" collapsed="false">
      <c r="A1289" s="0" t="str">
        <f aca="false">TEXT(1234.5678,"[$$-409]#,##0.00")</f>
        <v>$1.234,56780</v>
      </c>
      <c r="B1289" s="0" t="s">
        <v>78</v>
      </c>
    </row>
    <row r="1290" customFormat="false" ht="15" hidden="false" customHeight="false" outlineLevel="0" collapsed="false">
      <c r="A1290" s="0" t="str">
        <f aca="false">TEXT(-1234.5678,"[$$-409]#,##0.00")</f>
        <v>-$1.234,56780</v>
      </c>
      <c r="B1290" s="0" t="s">
        <v>79</v>
      </c>
    </row>
    <row r="1291" customFormat="false" ht="15" hidden="false" customHeight="false" outlineLevel="0" collapsed="false">
      <c r="A1291" s="0" t="str">
        <f aca="false">TEXT(0.5,"[$$-409]#,##0.00")</f>
        <v>$,50000</v>
      </c>
      <c r="B1291" s="0" t="s">
        <v>81</v>
      </c>
    </row>
    <row r="1292" customFormat="false" ht="15" hidden="false" customHeight="false" outlineLevel="0" collapsed="false">
      <c r="A1292" s="0" t="str">
        <f aca="false">TEXT(1234.5678,"[$€-407]#,##0.00")</f>
        <v>€1.234,56780</v>
      </c>
      <c r="B1292" s="0" t="s">
        <v>85</v>
      </c>
    </row>
    <row r="1293" customFormat="false" ht="15" hidden="false" customHeight="false" outlineLevel="0" collapsed="false">
      <c r="A1293" s="0" t="str">
        <f aca="false">TEXT(-1234.5678,"[$€-407]#,##0.00")</f>
        <v>-€1.234,56780</v>
      </c>
      <c r="B1293" s="0" t="s">
        <v>86</v>
      </c>
    </row>
    <row r="1294" customFormat="false" ht="15" hidden="false" customHeight="false" outlineLevel="0" collapsed="false">
      <c r="A1294" s="0" t="str">
        <f aca="false">TEXT(0.5,"[$€-407]#,##0.00")</f>
        <v>€,50000</v>
      </c>
      <c r="B1294" s="0" t="s">
        <v>88</v>
      </c>
    </row>
    <row r="1295" customFormat="false" ht="15" hidden="false" customHeight="false" outlineLevel="0" collapsed="false">
      <c r="A1295" s="0" t="str">
        <f aca="false">TEXT(1234.5678,"#,##0;(#,##0)")</f>
        <v>1234,568</v>
      </c>
      <c r="B1295" s="0" t="s">
        <v>106</v>
      </c>
    </row>
    <row r="1296" customFormat="false" ht="15" hidden="false" customHeight="false" outlineLevel="0" collapsed="false">
      <c r="A1296" s="0" t="str">
        <f aca="false">TEXT(-1234.5678,"#,##0;(#,##0)")</f>
        <v>(1234,568)</v>
      </c>
      <c r="B1296" s="0" t="s">
        <v>107</v>
      </c>
    </row>
    <row r="1297" customFormat="false" ht="15" hidden="false" customHeight="false" outlineLevel="0" collapsed="false">
      <c r="A1297" s="0" t="str">
        <f aca="false">TEXT(0.5,"#,##0;(#,##0)")</f>
        <v>,500</v>
      </c>
      <c r="B1297" s="0" t="s">
        <v>109</v>
      </c>
    </row>
    <row r="1298" customFormat="false" ht="15" hidden="false" customHeight="false" outlineLevel="0" collapsed="false">
      <c r="A1298" s="0" t="str">
        <f aca="false">TEXT(1234.5678,"#.##0,00")</f>
        <v>1.234,57</v>
      </c>
      <c r="B1298" s="0" t="s">
        <v>190</v>
      </c>
    </row>
    <row r="1299" customFormat="false" ht="15" hidden="false" customHeight="false" outlineLevel="0" collapsed="false">
      <c r="A1299" s="0" t="str">
        <f aca="false">TEXT(-1234.5678,"#.##0,00")</f>
        <v>-1.234,57</v>
      </c>
      <c r="B1299" s="0" t="s">
        <v>191</v>
      </c>
    </row>
    <row r="1300" customFormat="false" ht="15" hidden="false" customHeight="false" outlineLevel="0" collapsed="false">
      <c r="A1300" s="0" t="str">
        <f aca="false">TEXT(0.5,"#.##0,00")</f>
        <v>0,50</v>
      </c>
      <c r="B1300" s="0" t="s">
        <v>193</v>
      </c>
    </row>
    <row r="1301" customFormat="false" ht="15" hidden="false" customHeight="false" outlineLevel="0" collapsed="false">
      <c r="A1301" s="0" t="str">
        <f aca="false">TEXT(1234.5678,"0,00")</f>
        <v>1234,57</v>
      </c>
      <c r="B1301" s="0" t="s">
        <v>183</v>
      </c>
    </row>
    <row r="1302" customFormat="false" ht="15" hidden="false" customHeight="false" outlineLevel="0" collapsed="false">
      <c r="A1302" s="0" t="str">
        <f aca="false">TEXT(-1234.5678,"0,00")</f>
        <v>-1234,57</v>
      </c>
      <c r="B1302" s="0" t="s">
        <v>184</v>
      </c>
    </row>
    <row r="1303" customFormat="false" ht="15" hidden="false" customHeight="false" outlineLevel="0" collapsed="false">
      <c r="A1303" s="0" t="str">
        <f aca="false">TEXT(0.5,"0,00")</f>
        <v>0,50</v>
      </c>
      <c r="B1303" s="0" t="s">
        <v>186</v>
      </c>
    </row>
    <row r="1304" customFormat="false" ht="15" hidden="false" customHeight="false" outlineLevel="0" collapsed="false">
      <c r="A1304" s="0" t="str">
        <f aca="false">TEXT(1234.5678,"# ?/?")</f>
        <v>1234 4/7</v>
      </c>
      <c r="B1304" s="0" t="s">
        <v>57</v>
      </c>
    </row>
    <row r="1305" customFormat="false" ht="15" hidden="false" customHeight="false" outlineLevel="0" collapsed="false">
      <c r="A1305" s="0" t="str">
        <f aca="false">TEXT(-1234.5678,"# ?/?")</f>
        <v>-1234 4/7</v>
      </c>
      <c r="B1305" s="0" t="s">
        <v>58</v>
      </c>
    </row>
    <row r="1306" customFormat="false" ht="15" hidden="false" customHeight="false" outlineLevel="0" collapsed="false">
      <c r="A1306" s="0" t="str">
        <f aca="false">TEXT(0.5,"# ?/?")</f>
        <v> 1/2</v>
      </c>
      <c r="B1306" s="0" t="s">
        <v>60</v>
      </c>
    </row>
    <row r="1307" customFormat="false" ht="15" hidden="false" customHeight="false" outlineLevel="0" collapsed="false">
      <c r="A1307" s="0" t="str">
        <f aca="false">TEXT(1234.5678,"00000")</f>
        <v>01235</v>
      </c>
      <c r="B1307" s="0" t="s">
        <v>141</v>
      </c>
    </row>
    <row r="1308" customFormat="false" ht="15" hidden="false" customHeight="false" outlineLevel="0" collapsed="false">
      <c r="A1308" s="0" t="str">
        <f aca="false">TEXT(-1234.5678,"00000")</f>
        <v>-01235</v>
      </c>
      <c r="B1308" s="0" t="s">
        <v>142</v>
      </c>
    </row>
    <row r="1309" customFormat="false" ht="15" hidden="false" customHeight="false" outlineLevel="0" collapsed="false">
      <c r="A1309" s="0" t="str">
        <f aca="false">TEXT(0.5,"00000")</f>
        <v>00001</v>
      </c>
      <c r="B1309" s="0" t="s">
        <v>144</v>
      </c>
    </row>
    <row r="1310" customFormat="false" ht="15" hidden="false" customHeight="false" outlineLevel="0" collapsed="false">
      <c r="A1310" s="0" t="str">
        <f aca="false">TEXT(1234.5678,"#,##0.00;[Red]-#,##0.00")</f>
        <v>1.234,56780</v>
      </c>
      <c r="B1310" s="0" t="s">
        <v>1234</v>
      </c>
    </row>
    <row r="1311" customFormat="false" ht="15" hidden="false" customHeight="false" outlineLevel="0" collapsed="false">
      <c r="A1311" s="0" t="str">
        <f aca="false">TEXT(-1234.5678,"#,##0.00;[Red]-#,##0.00")</f>
        <v>-1.234,56780</v>
      </c>
      <c r="B1311" s="0" t="s">
        <v>1235</v>
      </c>
    </row>
    <row r="1312" customFormat="false" ht="15" hidden="false" customHeight="false" outlineLevel="0" collapsed="false">
      <c r="A1312" s="0" t="str">
        <f aca="false">TEXT(0.5,"#,##0.00;[Red]-#,##0.00")</f>
        <v>,50000</v>
      </c>
      <c r="B1312" s="0" t="s">
        <v>1236</v>
      </c>
    </row>
    <row r="1313" customFormat="false" ht="15" hidden="false" customHeight="false" outlineLevel="0" collapsed="false">
      <c r="A1313" s="0" t="str">
        <f aca="false">TEXT(45367.75,"dddd d mmmm yyyy")</f>
        <v>sábado 16 marzo 2024</v>
      </c>
      <c r="B1313" s="0" t="s">
        <v>1237</v>
      </c>
    </row>
    <row r="1314" customFormat="false" ht="15" hidden="false" customHeight="false" outlineLevel="0" collapsed="false">
      <c r="A1314" s="0" t="str">
        <f aca="false">TEXT(45658.5,"dddd d mmmm yyyy")</f>
        <v>miércoles 1 enero 2025</v>
      </c>
      <c r="B1314" s="0" t="s">
        <v>1238</v>
      </c>
    </row>
    <row r="1315" customFormat="false" ht="15" hidden="false" customHeight="false" outlineLevel="0" collapsed="false">
      <c r="A1315" s="0" t="str">
        <f aca="false">TEXT(45292.25,"dddd d mmmm yyyy")</f>
        <v>lunes 1 enero 2024</v>
      </c>
      <c r="B1315" s="0" t="s">
        <v>1239</v>
      </c>
    </row>
    <row r="1316" customFormat="false" ht="15" hidden="false" customHeight="false" outlineLevel="0" collapsed="false">
      <c r="A1316" s="0" t="str">
        <f aca="false">TEXT(45000.9,"dddd d mmmm yyyy")</f>
        <v>miércoles 15 marzo 2023</v>
      </c>
      <c r="B1316" s="0" t="s">
        <v>1240</v>
      </c>
    </row>
    <row r="1317" customFormat="false" ht="15" hidden="false" customHeight="false" outlineLevel="0" collapsed="false">
      <c r="A1317" s="0" t="str">
        <f aca="false">TEXT(45367.75,"ddd mmm")</f>
        <v>sáb mar</v>
      </c>
      <c r="B1317" s="0" t="s">
        <v>1241</v>
      </c>
    </row>
    <row r="1318" customFormat="false" ht="15" hidden="false" customHeight="false" outlineLevel="0" collapsed="false">
      <c r="A1318" s="0" t="str">
        <f aca="false">TEXT(45658.5,"ddd mmm")</f>
        <v>mié ene</v>
      </c>
      <c r="B1318" s="0" t="s">
        <v>1242</v>
      </c>
    </row>
    <row r="1319" customFormat="false" ht="15" hidden="false" customHeight="false" outlineLevel="0" collapsed="false">
      <c r="A1319" s="0" t="str">
        <f aca="false">TEXT(45292.25,"ddd mmm")</f>
        <v>lun ene</v>
      </c>
      <c r="B1319" s="0" t="s">
        <v>1243</v>
      </c>
    </row>
    <row r="1320" customFormat="false" ht="15" hidden="false" customHeight="false" outlineLevel="0" collapsed="false">
      <c r="A1320" s="0" t="str">
        <f aca="false">TEXT(45000.9,"ddd mmm")</f>
        <v>mié mar</v>
      </c>
      <c r="B1320" s="0" t="s">
        <v>1244</v>
      </c>
    </row>
    <row r="1321" customFormat="false" ht="15" hidden="false" customHeight="false" outlineLevel="0" collapsed="false">
      <c r="A1321" s="0" t="str">
        <f aca="false">TEXT(45367.75,"mmmm")</f>
        <v>marzo</v>
      </c>
      <c r="B1321" s="0" t="s">
        <v>1245</v>
      </c>
    </row>
    <row r="1322" customFormat="false" ht="15" hidden="false" customHeight="false" outlineLevel="0" collapsed="false">
      <c r="A1322" s="0" t="str">
        <f aca="false">TEXT(45658.5,"mmmm")</f>
        <v>enero</v>
      </c>
      <c r="B1322" s="0" t="s">
        <v>1246</v>
      </c>
    </row>
    <row r="1323" customFormat="false" ht="15" hidden="false" customHeight="false" outlineLevel="0" collapsed="false">
      <c r="A1323" s="0" t="str">
        <f aca="false">TEXT(45292.25,"mmmm")</f>
        <v>enero</v>
      </c>
      <c r="B1323" s="0" t="s">
        <v>1247</v>
      </c>
    </row>
    <row r="1324" customFormat="false" ht="15" hidden="false" customHeight="false" outlineLevel="0" collapsed="false">
      <c r="A1324" s="0" t="str">
        <f aca="false">TEXT(45000.9,"mmmm")</f>
        <v>marzo</v>
      </c>
      <c r="B1324" s="0" t="s">
        <v>1248</v>
      </c>
    </row>
    <row r="1325" customFormat="false" ht="15" hidden="false" customHeight="false" outlineLevel="0" collapsed="false">
      <c r="A1325" s="0" t="str">
        <f aca="false">TEXT(45367.75,"dddd")</f>
        <v>sábado</v>
      </c>
      <c r="B1325" s="0" t="s">
        <v>1249</v>
      </c>
    </row>
    <row r="1326" customFormat="false" ht="15" hidden="false" customHeight="false" outlineLevel="0" collapsed="false">
      <c r="A1326" s="0" t="str">
        <f aca="false">TEXT(45658.5,"dddd")</f>
        <v>miércoles</v>
      </c>
      <c r="B1326" s="0" t="s">
        <v>1250</v>
      </c>
    </row>
    <row r="1327" customFormat="false" ht="15" hidden="false" customHeight="false" outlineLevel="0" collapsed="false">
      <c r="A1327" s="0" t="str">
        <f aca="false">TEXT(45292.25,"dddd")</f>
        <v>lunes</v>
      </c>
      <c r="B1327" s="0" t="s">
        <v>1251</v>
      </c>
    </row>
    <row r="1328" customFormat="false" ht="15" hidden="false" customHeight="false" outlineLevel="0" collapsed="false">
      <c r="A1328" s="0" t="str">
        <f aca="false">TEXT(45000.9,"dddd")</f>
        <v>miércoles</v>
      </c>
      <c r="B1328" s="0" t="s">
        <v>1252</v>
      </c>
    </row>
    <row r="1329" customFormat="false" ht="15" hidden="false" customHeight="false" outlineLevel="0" collapsed="false">
      <c r="A1329" s="0" t="str">
        <f aca="false">TEXT(45367.75,"h:mm AM/PM")</f>
        <v>6:00 p. m.</v>
      </c>
      <c r="B1329" s="0" t="s">
        <v>1253</v>
      </c>
    </row>
    <row r="1330" customFormat="false" ht="15" hidden="false" customHeight="false" outlineLevel="0" collapsed="false">
      <c r="A1330" s="0" t="str">
        <f aca="false">TEXT(45658.5,"h:mm AM/PM")</f>
        <v>12:00 p. m.</v>
      </c>
      <c r="B1330" s="0" t="s">
        <v>1254</v>
      </c>
    </row>
    <row r="1331" customFormat="false" ht="15" hidden="false" customHeight="false" outlineLevel="0" collapsed="false">
      <c r="A1331" s="0" t="str">
        <f aca="false">TEXT(45292.25,"h:mm AM/PM")</f>
        <v>6:00 a. m.</v>
      </c>
      <c r="B1331" s="0" t="s">
        <v>1255</v>
      </c>
    </row>
    <row r="1332" customFormat="false" ht="15" hidden="false" customHeight="false" outlineLevel="0" collapsed="false">
      <c r="A1332" s="0" t="str">
        <f aca="false">TEXT(45000.9,"h:mm AM/PM")</f>
        <v>9:36 p. m.</v>
      </c>
      <c r="B1332" s="0" t="s">
        <v>1256</v>
      </c>
    </row>
    <row r="1333" customFormat="false" ht="15" hidden="false" customHeight="false" outlineLevel="0" collapsed="false">
      <c r="A1333" s="0" t="str">
        <f aca="false">TEXT(45367.75,"dd/mm/yyyy")</f>
        <v>16/03/2024</v>
      </c>
      <c r="B1333" s="0" t="s">
        <v>1257</v>
      </c>
    </row>
    <row r="1334" customFormat="false" ht="15" hidden="false" customHeight="false" outlineLevel="0" collapsed="false">
      <c r="A1334" s="0" t="str">
        <f aca="false">TEXT(45658.5,"dd/mm/yyyy")</f>
        <v>01/01/2025</v>
      </c>
      <c r="B1334" s="0" t="s">
        <v>1258</v>
      </c>
    </row>
    <row r="1335" customFormat="false" ht="15" hidden="false" customHeight="false" outlineLevel="0" collapsed="false">
      <c r="A1335" s="0" t="str">
        <f aca="false">TEXT(45292.25,"dd/mm/yyyy")</f>
        <v>01/01/2024</v>
      </c>
      <c r="B1335" s="0" t="s">
        <v>1259</v>
      </c>
    </row>
    <row r="1336" customFormat="false" ht="15" hidden="false" customHeight="false" outlineLevel="0" collapsed="false">
      <c r="A1336" s="0" t="str">
        <f aca="false">TEXT(45000.9,"dd/mm/yyyy")</f>
        <v>15/03/2023</v>
      </c>
      <c r="B1336" s="0" t="s">
        <v>1260</v>
      </c>
    </row>
    <row r="1337" customFormat="false" ht="15" hidden="false" customHeight="false" outlineLevel="0" collapsed="false">
      <c r="A1337" s="0" t="str">
        <f aca="false">TEXT(45367.75,"d-mmm-yy")</f>
        <v>16-mar-24</v>
      </c>
      <c r="B1337" s="0" t="s">
        <v>1261</v>
      </c>
    </row>
    <row r="1338" customFormat="false" ht="15" hidden="false" customHeight="false" outlineLevel="0" collapsed="false">
      <c r="A1338" s="0" t="str">
        <f aca="false">TEXT(45658.5,"d-mmm-yy")</f>
        <v>1-ene-25</v>
      </c>
      <c r="B1338" s="0" t="s">
        <v>1262</v>
      </c>
    </row>
    <row r="1339" customFormat="false" ht="15" hidden="false" customHeight="false" outlineLevel="0" collapsed="false">
      <c r="A1339" s="0" t="str">
        <f aca="false">TEXT(45292.25,"d-mmm-yy")</f>
        <v>1-ene-24</v>
      </c>
      <c r="B1339" s="0" t="s">
        <v>1263</v>
      </c>
    </row>
    <row r="1340" customFormat="false" ht="15" hidden="false" customHeight="false" outlineLevel="0" collapsed="false">
      <c r="A1340" s="0" t="str">
        <f aca="false">TEXT(45000.9,"d-mmm-yy")</f>
        <v>15-mar-23</v>
      </c>
      <c r="B1340" s="0" t="s">
        <v>1264</v>
      </c>
    </row>
    <row r="1341" customFormat="false" ht="15" hidden="false" customHeight="false" outlineLevel="0" collapsed="false">
      <c r="A1341" s="0" t="str">
        <f aca="false">TEXT(45367.75,"mmmmm")</f>
        <v>m</v>
      </c>
      <c r="B1341" s="0" t="s">
        <v>1265</v>
      </c>
    </row>
    <row r="1342" customFormat="false" ht="15" hidden="false" customHeight="false" outlineLevel="0" collapsed="false">
      <c r="A1342" s="0" t="str">
        <f aca="false">TEXT(45658.5,"mmmmm")</f>
        <v>e</v>
      </c>
      <c r="B1342" s="0" t="s">
        <v>1266</v>
      </c>
    </row>
    <row r="1343" customFormat="false" ht="15" hidden="false" customHeight="false" outlineLevel="0" collapsed="false">
      <c r="A1343" s="0" t="str">
        <f aca="false">TEXT(45292.25,"mmmmm")</f>
        <v>e</v>
      </c>
      <c r="B1343" s="0" t="s">
        <v>1267</v>
      </c>
    </row>
    <row r="1344" customFormat="false" ht="15" hidden="false" customHeight="false" outlineLevel="0" collapsed="false">
      <c r="A1344" s="0" t="str">
        <f aca="false">TEXT(45000.9,"mmmmm")</f>
        <v>m</v>
      </c>
      <c r="B1344" s="0" t="s">
        <v>1268</v>
      </c>
    </row>
    <row r="1345" customFormat="false" ht="15" hidden="false" customHeight="false" outlineLevel="0" collapsed="false">
      <c r="A1345" s="0" t="str">
        <f aca="false">TEXT(45367.75,"dd.mm.yyyy")</f>
        <v>16.03.2024</v>
      </c>
      <c r="B1345" s="0" t="s">
        <v>1269</v>
      </c>
    </row>
    <row r="1346" customFormat="false" ht="15" hidden="false" customHeight="false" outlineLevel="0" collapsed="false">
      <c r="A1346" s="0" t="str">
        <f aca="false">TEXT(45658.5,"dd.mm.yyyy")</f>
        <v>01.01.2025</v>
      </c>
      <c r="B1346" s="0" t="s">
        <v>1270</v>
      </c>
    </row>
    <row r="1347" customFormat="false" ht="15" hidden="false" customHeight="false" outlineLevel="0" collapsed="false">
      <c r="A1347" s="0" t="str">
        <f aca="false">TEXT(45292.25,"dd.mm.yyyy")</f>
        <v>01.01.2024</v>
      </c>
      <c r="B1347" s="0" t="s">
        <v>1271</v>
      </c>
    </row>
    <row r="1348" customFormat="false" ht="15" hidden="false" customHeight="false" outlineLevel="0" collapsed="false">
      <c r="A1348" s="0" t="str">
        <f aca="false">TEXT(45000.9,"dd.mm.yyyy")</f>
        <v>15.03.2023</v>
      </c>
      <c r="B1348" s="0" t="s">
        <v>1272</v>
      </c>
    </row>
    <row r="1349" customFormat="false" ht="15" hidden="false" customHeight="false" outlineLevel="0" collapsed="false">
      <c r="A1349" s="0" t="str">
        <f aca="false">TEXT(45367.75,"[$-409]dddd d mmmm")</f>
        <v>Saturday 16 March</v>
      </c>
      <c r="B1349" s="0" t="s">
        <v>1273</v>
      </c>
    </row>
    <row r="1350" customFormat="false" ht="15" hidden="false" customHeight="false" outlineLevel="0" collapsed="false">
      <c r="A1350" s="0" t="str">
        <f aca="false">TEXT(45658.5,"[$-409]dddd d mmmm")</f>
        <v>Wednesday 1 January</v>
      </c>
      <c r="B1350" s="0" t="s">
        <v>1274</v>
      </c>
    </row>
    <row r="1351" customFormat="false" ht="15" hidden="false" customHeight="false" outlineLevel="0" collapsed="false">
      <c r="A1351" s="0" t="str">
        <f aca="false">TEXT(45292.25,"[$-409]dddd d mmmm")</f>
        <v>Monday 1 January</v>
      </c>
      <c r="B1351" s="0" t="s">
        <v>1275</v>
      </c>
    </row>
    <row r="1352" customFormat="false" ht="15" hidden="false" customHeight="false" outlineLevel="0" collapsed="false">
      <c r="A1352" s="0" t="str">
        <f aca="false">TEXT(45000.9,"[$-409]dddd d mmmm")</f>
        <v>Wednesday 15 March</v>
      </c>
      <c r="B1352" s="0" t="s">
        <v>1276</v>
      </c>
    </row>
    <row r="1353" customFormat="false" ht="15" hidden="false" customHeight="false" outlineLevel="0" collapsed="false">
      <c r="A1353" s="0" t="str">
        <f aca="false">TEXT(45367.75,"[$-C0A]dddd d mmmm")</f>
        <v>sábado 16 marzo</v>
      </c>
      <c r="B1353" s="0" t="s">
        <v>1277</v>
      </c>
    </row>
    <row r="1354" customFormat="false" ht="15" hidden="false" customHeight="false" outlineLevel="0" collapsed="false">
      <c r="A1354" s="0" t="str">
        <f aca="false">TEXT(45658.5,"[$-C0A]dddd d mmmm")</f>
        <v>miércoles 1 enero</v>
      </c>
      <c r="B1354" s="0" t="s">
        <v>1278</v>
      </c>
    </row>
    <row r="1355" customFormat="false" ht="15" hidden="false" customHeight="false" outlineLevel="0" collapsed="false">
      <c r="A1355" s="0" t="str">
        <f aca="false">TEXT(45292.25,"[$-C0A]dddd d mmmm")</f>
        <v>lunes 1 enero</v>
      </c>
      <c r="B1355" s="0" t="s">
        <v>1279</v>
      </c>
    </row>
    <row r="1356" customFormat="false" ht="15" hidden="false" customHeight="false" outlineLevel="0" collapsed="false">
      <c r="A1356" s="0" t="str">
        <f aca="false">TEXT(45000.9,"[$-C0A]dddd d mmmm")</f>
        <v>miércoles 15 marzo</v>
      </c>
      <c r="B1356" s="0" t="s">
        <v>1280</v>
      </c>
    </row>
    <row r="1357" customFormat="false" ht="15" hidden="false" customHeight="false" outlineLevel="0" collapsed="false">
      <c r="A1357" s="0" t="str">
        <f aca="false">TEXT(45367.75,"[$-40A]dddd")</f>
        <v>sábado</v>
      </c>
      <c r="B1357" s="0" t="s">
        <v>1281</v>
      </c>
    </row>
    <row r="1358" customFormat="false" ht="15" hidden="false" customHeight="false" outlineLevel="0" collapsed="false">
      <c r="A1358" s="0" t="str">
        <f aca="false">TEXT(45658.5,"[$-40A]dddd")</f>
        <v>miércoles</v>
      </c>
      <c r="B1358" s="0" t="s">
        <v>1282</v>
      </c>
    </row>
    <row r="1359" customFormat="false" ht="15" hidden="false" customHeight="false" outlineLevel="0" collapsed="false">
      <c r="A1359" s="0" t="str">
        <f aca="false">TEXT(45292.25,"[$-40A]dddd")</f>
        <v>lunes</v>
      </c>
      <c r="B1359" s="0" t="s">
        <v>1283</v>
      </c>
    </row>
    <row r="1360" customFormat="false" ht="15" hidden="false" customHeight="false" outlineLevel="0" collapsed="false">
      <c r="A1360" s="0" t="str">
        <f aca="false">TEXT(45000.9,"[$-40A]dddd")</f>
        <v>miércoles</v>
      </c>
      <c r="B1360" s="0" t="s">
        <v>1284</v>
      </c>
    </row>
    <row r="1361" customFormat="false" ht="15" hidden="false" customHeight="false" outlineLevel="0" collapsed="false">
      <c r="A1361" s="0" t="str">
        <f aca="false">TEXT(45367.75,"[$-809]ddd mmm")</f>
        <v>Sat Mar</v>
      </c>
      <c r="B1361" s="0" t="s">
        <v>1285</v>
      </c>
    </row>
    <row r="1362" customFormat="false" ht="15" hidden="false" customHeight="false" outlineLevel="0" collapsed="false">
      <c r="A1362" s="0" t="str">
        <f aca="false">TEXT(45658.5,"[$-809]ddd mmm")</f>
        <v>Wed Jan</v>
      </c>
      <c r="B1362" s="0" t="s">
        <v>1286</v>
      </c>
    </row>
    <row r="1363" customFormat="false" ht="15" hidden="false" customHeight="false" outlineLevel="0" collapsed="false">
      <c r="A1363" s="0" t="str">
        <f aca="false">TEXT(45292.25,"[$-809]ddd mmm")</f>
        <v>Mon Jan</v>
      </c>
      <c r="B1363" s="0" t="s">
        <v>1287</v>
      </c>
    </row>
    <row r="1364" customFormat="false" ht="15" hidden="false" customHeight="false" outlineLevel="0" collapsed="false">
      <c r="A1364" s="0" t="str">
        <f aca="false">TEXT(45000.9,"[$-809]ddd mmm")</f>
        <v>Wed Mar</v>
      </c>
      <c r="B1364" s="0" t="s">
        <v>1288</v>
      </c>
    </row>
    <row r="1365" customFormat="false" ht="15" hidden="false" customHeight="false" outlineLevel="0" collapsed="false">
      <c r="A1365" s="0" t="str">
        <f aca="false">TEXT(45367.75,"[$-409]h:mm AM/PM")</f>
        <v>6:00 PM</v>
      </c>
      <c r="B1365" s="0" t="s">
        <v>1289</v>
      </c>
    </row>
    <row r="1366" customFormat="false" ht="15" hidden="false" customHeight="false" outlineLevel="0" collapsed="false">
      <c r="A1366" s="0" t="str">
        <f aca="false">TEXT(45658.5,"[$-409]h:mm AM/PM")</f>
        <v>12:00 PM</v>
      </c>
      <c r="B1366" s="0" t="s">
        <v>1290</v>
      </c>
    </row>
    <row r="1367" customFormat="false" ht="15" hidden="false" customHeight="false" outlineLevel="0" collapsed="false">
      <c r="A1367" s="0" t="str">
        <f aca="false">TEXT(45292.25,"[$-409]h:mm AM/PM")</f>
        <v>6:00 AM</v>
      </c>
      <c r="B1367" s="0" t="s">
        <v>1291</v>
      </c>
    </row>
    <row r="1368" customFormat="false" ht="15" hidden="false" customHeight="false" outlineLevel="0" collapsed="false">
      <c r="A1368" s="0" t="str">
        <f aca="false">TEXT(45000.9,"[$-409]h:mm AM/PM")</f>
        <v>9:36 PM</v>
      </c>
      <c r="B1368" s="0" t="s">
        <v>1292</v>
      </c>
    </row>
    <row r="1369" customFormat="false" ht="15" hidden="false" customHeight="false" outlineLevel="0" collapsed="false">
      <c r="A1369" s="0" t="str">
        <f aca="false">DOLLAR(1234.567,2)</f>
        <v>$1.234,57</v>
      </c>
      <c r="B1369" s="0" t="s">
        <v>855</v>
      </c>
    </row>
    <row r="1370" customFormat="false" ht="15" hidden="false" customHeight="false" outlineLevel="0" collapsed="false">
      <c r="A1370" s="0" t="str">
        <f aca="false">DOLLAR(-1234.567,2)</f>
        <v>($1.234,57)</v>
      </c>
      <c r="B1370" s="0" t="s">
        <v>856</v>
      </c>
    </row>
    <row r="1371" customFormat="false" ht="15" hidden="false" customHeight="false" outlineLevel="0" collapsed="false">
      <c r="A1371" s="0" t="str">
        <f aca="false">DOLLAR(0.5,1)</f>
        <v>$0,5</v>
      </c>
      <c r="B1371" s="0" t="s">
        <v>858</v>
      </c>
    </row>
    <row r="1372" customFormat="false" ht="15" hidden="false" customHeight="false" outlineLevel="0" collapsed="false">
      <c r="A1372" s="0" t="str">
        <f aca="false">DOLLAR(-0.004,2)</f>
        <v>$0,00</v>
      </c>
      <c r="B1372" s="0" t="s">
        <v>859</v>
      </c>
    </row>
    <row r="1373" customFormat="false" ht="15" hidden="false" customHeight="false" outlineLevel="0" collapsed="false">
      <c r="A1373" s="0" t="str">
        <f aca="false">DOLLAR(1234567.891,0)</f>
        <v>$1.234.568</v>
      </c>
      <c r="B1373" s="0" t="s">
        <v>1293</v>
      </c>
    </row>
    <row r="1374" customFormat="false" ht="15" hidden="false" customHeight="false" outlineLevel="0" collapsed="false">
      <c r="A1374" s="0" t="str">
        <f aca="false">FIXED(1234.5678,2)</f>
        <v>1.234,57</v>
      </c>
      <c r="B1374" s="0" t="s">
        <v>847</v>
      </c>
    </row>
    <row r="1375" customFormat="false" ht="15" hidden="false" customHeight="false" outlineLevel="0" collapsed="false">
      <c r="A1375" s="0" t="str">
        <f aca="false">FIXED(1234.5678,1,TRUE())</f>
        <v>1234,6</v>
      </c>
      <c r="B1375" s="0" t="s">
        <v>848</v>
      </c>
    </row>
    <row r="1376" customFormat="false" ht="15" hidden="false" customHeight="false" outlineLevel="0" collapsed="false">
      <c r="A1376" s="0" t="str">
        <f aca="false">FIXED(-1234.5678,0)</f>
        <v>-1.235</v>
      </c>
      <c r="B1376" s="0" t="s">
        <v>1294</v>
      </c>
    </row>
    <row r="1377" customFormat="false" ht="15" hidden="false" customHeight="false" outlineLevel="0" collapsed="false">
      <c r="A1377" s="0" t="str">
        <f aca="false">1234.5678&amp;""</f>
        <v>1234,5678</v>
      </c>
      <c r="B1377" s="0" t="s">
        <v>841</v>
      </c>
    </row>
    <row r="1378" customFormat="false" ht="15" hidden="false" customHeight="false" outlineLevel="0" collapsed="false">
      <c r="A1378" s="0" t="str">
        <f aca="false">0.5&amp;""</f>
        <v>0,5</v>
      </c>
      <c r="B1378" s="0" t="s">
        <v>842</v>
      </c>
    </row>
    <row r="1379" customFormat="false" ht="15" hidden="false" customHeight="false" outlineLevel="0" collapsed="false">
      <c r="A1379" s="0" t="str">
        <f aca="false">1/3&amp;""</f>
        <v>0,333333333333333</v>
      </c>
      <c r="B1379" s="0" t="s">
        <v>851</v>
      </c>
    </row>
    <row r="1380" customFormat="false" ht="15" hidden="false" customHeight="false" outlineLevel="0" collapsed="false">
      <c r="A1380" s="0" t="str">
        <f aca="false">(1=1)&amp;""</f>
        <v>1</v>
      </c>
      <c r="B1380" s="0" t="s">
        <v>1295</v>
      </c>
    </row>
    <row r="1381" customFormat="false" ht="15" hidden="false" customHeight="false" outlineLevel="0" collapsed="false">
      <c r="A1381" s="0" t="str">
        <f aca="false">(1=0)&amp;""</f>
        <v>0</v>
      </c>
      <c r="B1381" s="0" t="s">
        <v>1296</v>
      </c>
    </row>
    <row r="1382" customFormat="false" ht="15" hidden="false" customHeight="false" outlineLevel="0" collapsed="false">
      <c r="A1382" s="2" t="b">
        <f aca="false">3&gt;2&amp;""</f>
        <v>0</v>
      </c>
      <c r="B1382" s="0" t="s">
        <v>854</v>
      </c>
    </row>
    <row r="1383" customFormat="false" ht="15" hidden="false" customHeight="false" outlineLevel="0" collapsed="false">
      <c r="A1383" s="0" t="str">
        <f aca="false">1234567.891&amp;""</f>
        <v>1234567,891</v>
      </c>
      <c r="B1383" s="0" t="s">
        <v>1297</v>
      </c>
    </row>
    <row r="1384" customFormat="false" ht="15" hidden="false" customHeight="false" outlineLevel="0" collapsed="false">
      <c r="A1384" s="0" t="str">
        <f aca="false">1E+020&amp;""</f>
        <v>1E+020</v>
      </c>
      <c r="B1384" s="0" t="s">
        <v>1298</v>
      </c>
    </row>
    <row r="1385" customFormat="false" ht="15" hidden="false" customHeight="false" outlineLevel="0" collapsed="false">
      <c r="A1385" s="2" t="b">
        <f aca="false">"ä"&lt;"z"</f>
        <v>1</v>
      </c>
      <c r="B1385" s="0" t="s">
        <v>1299</v>
      </c>
    </row>
    <row r="1386" customFormat="false" ht="15" hidden="false" customHeight="false" outlineLevel="0" collapsed="false">
      <c r="A1386" s="2" t="b">
        <f aca="false">"ñ"&lt;"o"</f>
        <v>1</v>
      </c>
      <c r="B1386" s="0" t="s">
        <v>1300</v>
      </c>
    </row>
    <row r="1387" customFormat="false" ht="15" hidden="false" customHeight="false" outlineLevel="0" collapsed="false">
      <c r="A1387" s="2" t="b">
        <f aca="false">"ñ"&lt;"n"</f>
        <v>0</v>
      </c>
      <c r="B1387" s="0" t="s">
        <v>1301</v>
      </c>
    </row>
    <row r="1388" customFormat="false" ht="15" hidden="false" customHeight="false" outlineLevel="0" collapsed="false">
      <c r="A1388" s="2" t="b">
        <f aca="false">"é"&lt;"f"</f>
        <v>1</v>
      </c>
      <c r="B1388" s="0" t="s">
        <v>1302</v>
      </c>
    </row>
    <row r="1389" customFormat="false" ht="15" hidden="false" customHeight="false" outlineLevel="0" collapsed="false">
      <c r="A1389" s="2" t="b">
        <f aca="false">"ß"="ss"</f>
        <v>0</v>
      </c>
      <c r="B1389" s="0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2026-10-27T04:06:25Z</dcterms:created>
  <dc:creator>openpyxl</dc:creator>
  <dc:description/>
  <dc:language>es-CO</dc:language>
  <cp:lastModifiedBy/>
  <dcterms:modified xsi:type="dcterms:W3CDTF">2026-10-27T04:06:25Z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